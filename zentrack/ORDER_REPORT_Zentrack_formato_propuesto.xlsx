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INSTRUCCIONES" sheetId="2" state="visible" r:id="rId2"/>
    <sheet name="PEDIDOS" sheetId="3" state="visible" r:id="rId3"/>
    <sheet name="OTROS COMPONENTES" sheetId="4" state="visible" r:id="rId4"/>
  </sheets>
  <definedNames>
    <definedName name="_xlnm._FilterDatabase" localSheetId="2" hidden="1">'PEDIDOS'!$A$3:$AK$200</definedName>
    <definedName name="_xlnm._FilterDatabase" localSheetId="3" hidden="1">'OTROS COMPONENTES'!$A$3:$J$200</definedName>
  </definedNames>
  <calcPr calcId="124519" fullCalcOnLoad="1"/>
</workbook>
</file>

<file path=xl/styles.xml><?xml version="1.0" encoding="utf-8"?>
<styleSheet xmlns="http://schemas.openxmlformats.org/spreadsheetml/2006/main">
  <numFmts count="3">
    <numFmt numFmtId="164" formatCode="dd/mm/yyyy"/>
    <numFmt numFmtId="165" formatCode="$#,##0.00;($#,##0.00);-"/>
    <numFmt numFmtId="166" formatCode="0.0%"/>
  </numFmts>
  <fonts count="13">
    <font>
      <name val="Calibri"/>
      <family val="2"/>
      <color theme="1"/>
      <sz val="11"/>
      <scheme val="minor"/>
    </font>
    <font>
      <name val="Arial"/>
      <b val="1"/>
      <color rgb="0017181A"/>
      <sz val="13"/>
    </font>
    <font>
      <name val="Arial"/>
      <i val="1"/>
      <color rgb="006A6E73"/>
      <sz val="9"/>
    </font>
    <font>
      <name val="Arial"/>
      <b val="1"/>
      <color rgb="00FFFFFF"/>
      <sz val="9"/>
    </font>
    <font>
      <name val="Arial"/>
      <color rgb="000000FF"/>
      <sz val="10"/>
    </font>
    <font>
      <name val="Arial"/>
      <color rgb="00000000"/>
      <sz val="10"/>
    </font>
    <font>
      <name val="Arial"/>
      <color rgb="00B3261E"/>
      <sz val="9"/>
    </font>
    <font>
      <name val="Arial"/>
      <b val="1"/>
      <color rgb="0017181A"/>
      <sz val="14"/>
    </font>
    <font>
      <name val="Arial"/>
      <b val="1"/>
      <sz val="10"/>
    </font>
    <font>
      <name val="Arial"/>
      <b val="1"/>
      <color rgb="00FFFFFF"/>
      <sz val="10"/>
    </font>
    <font>
      <name val="Arial"/>
      <sz val="10"/>
    </font>
    <font>
      <name val="Arial"/>
      <b val="1"/>
      <color rgb="00B3261E"/>
      <sz val="10"/>
    </font>
    <font>
      <name val="Arial"/>
      <i val="1"/>
      <color rgb="006A6E73"/>
      <sz val="10"/>
    </font>
  </fonts>
  <fills count="5">
    <fill>
      <patternFill/>
    </fill>
    <fill>
      <patternFill patternType="gray125"/>
    </fill>
    <fill>
      <patternFill patternType="solid">
        <fgColor rgb="0017181A"/>
      </patternFill>
    </fill>
    <fill>
      <patternFill patternType="solid">
        <fgColor rgb="00FFF4E0"/>
      </patternFill>
    </fill>
    <fill>
      <patternFill patternType="solid">
        <fgColor rgb="00F4F5F6"/>
      </patternFill>
    </fill>
  </fills>
  <borders count="2">
    <border>
      <left/>
      <right/>
      <top/>
      <bottom/>
      <diagonal/>
    </border>
    <border>
      <left style="thin">
        <color rgb="00D6D9DD"/>
      </left>
      <right style="thin">
        <color rgb="00D6D9DD"/>
      </right>
      <top style="thin">
        <color rgb="00D6D9DD"/>
      </top>
      <bottom style="thin">
        <color rgb="00D6D9DD"/>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164" fontId="4" fillId="3" borderId="1" pivotButton="0" quotePrefix="0" xfId="0"/>
    <xf numFmtId="165" fontId="4" fillId="3" borderId="1" pivotButton="0" quotePrefix="0" xfId="0"/>
    <xf numFmtId="166" fontId="4" fillId="3" borderId="1" pivotButton="0" quotePrefix="0" xfId="0"/>
    <xf numFmtId="165" fontId="5" fillId="4" borderId="1" pivotButton="0" quotePrefix="0" xfId="0"/>
    <xf numFmtId="0" fontId="5" fillId="4" borderId="1" pivotButton="0" quotePrefix="0" xfId="0"/>
    <xf numFmtId="0" fontId="6" fillId="4" borderId="1" pivotButton="0" quotePrefix="0" xfId="0"/>
    <xf numFmtId="0" fontId="7" fillId="0" borderId="0" pivotButton="0" quotePrefix="0" xfId="0"/>
    <xf numFmtId="0" fontId="8" fillId="0" borderId="0" pivotButton="0" quotePrefix="0" xfId="0"/>
    <xf numFmtId="0" fontId="4" fillId="3" borderId="1" applyAlignment="1" pivotButton="0" quotePrefix="0" xfId="0">
      <alignment wrapText="1"/>
    </xf>
    <xf numFmtId="0" fontId="9" fillId="2" borderId="0" pivotButton="0" quotePrefix="0" xfId="0"/>
    <xf numFmtId="0" fontId="0" fillId="2" borderId="0" pivotButton="0" quotePrefix="0" xfId="0"/>
    <xf numFmtId="0" fontId="10" fillId="0" borderId="0" pivotButton="0" quotePrefix="0" xfId="0"/>
    <xf numFmtId="165" fontId="8" fillId="4" borderId="1" pivotButton="0" quotePrefix="0" xfId="0"/>
    <xf numFmtId="3" fontId="5" fillId="4" borderId="1" pivotButton="0" quotePrefix="0" xfId="0"/>
    <xf numFmtId="3" fontId="11" fillId="4" borderId="1" pivotButton="0" quotePrefix="0" xfId="0"/>
    <xf numFmtId="165" fontId="4" fillId="3" borderId="1" pivotButton="0" quotePrefix="0" xfId="0"/>
    <xf numFmtId="165" fontId="5" fillId="4" borderId="1" pivotButton="0" quotePrefix="0" xfId="0"/>
    <xf numFmtId="165" fontId="8" fillId="4" borderId="1" pivotButton="0" quotePrefix="0" xfId="0"/>
    <xf numFmtId="0" fontId="12"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0" fillId="3" borderId="0" pivotButton="0" quotePrefix="0" xfId="0"/>
    <xf numFmtId="0" fontId="4" fillId="0" borderId="0" pivotButton="0" quotePrefix="0" xfId="0"/>
    <xf numFmtId="0" fontId="0" fillId="4" borderId="0" pivotButton="0" quotePrefix="0" xfId="0"/>
    <xf numFmtId="0" fontId="5" fillId="0" borderId="0" pivotButton="0" quotePrefix="0" xfId="0"/>
    <xf numFmtId="166"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1" t="inlineStr">
        <is>
          <t>RESUMEN · cupo Sinosure y deuda con China</t>
        </is>
      </c>
    </row>
    <row r="2">
      <c r="A2" s="2" t="inlineStr">
        <is>
          <t>Todo se calcula solo desde la hoja PEDIDOS. Lo único que se escribe aquí son los dos techos de cupo.</t>
        </is>
      </c>
    </row>
    <row r="3">
      <c r="A3" s="12" t="inlineStr">
        <is>
          <t>Regla para contar el cupo</t>
        </is>
      </c>
    </row>
    <row r="4">
      <c r="A4" s="2" t="inlineStr">
        <is>
          <t>(se elige aquí y toda la hoja PEDIDOS se recalcula)</t>
        </is>
      </c>
      <c r="B4" s="13" t="inlineStr">
        <is>
          <t>Monto en fábrica · saldo cuando embarque</t>
        </is>
      </c>
      <c r="C4" s="2" t="inlineStr">
        <is>
          <t>Un pedido Por confirmar o Cerrado nunca consume cupo, sin importar la regla.</t>
        </is>
      </c>
    </row>
    <row r="6">
      <c r="A6" s="14" t="inlineStr">
        <is>
          <t>CUPO SINOSURE</t>
        </is>
      </c>
      <c r="B6" s="15" t="n"/>
      <c r="C6" s="15" t="n"/>
    </row>
    <row r="7">
      <c r="B7" s="12" t="inlineStr">
        <is>
          <t>Singsun · trackers</t>
        </is>
      </c>
      <c r="C7" s="12" t="inlineStr">
        <is>
          <t>Eaglerise · shelters</t>
        </is>
      </c>
    </row>
    <row r="8">
      <c r="A8" s="16" t="inlineStr">
        <is>
          <t>Techo de cupo</t>
        </is>
      </c>
      <c r="B8" s="20" t="n">
        <v>1300000</v>
      </c>
      <c r="C8" s="20" t="n">
        <v>3000000</v>
      </c>
      <c r="D8" s="2" t="inlineStr">
        <is>
          <t>Lo escribes tú</t>
        </is>
      </c>
    </row>
    <row r="9">
      <c r="A9" s="16" t="inlineStr">
        <is>
          <t>Consumo (pedidos confirmados)</t>
        </is>
      </c>
      <c r="B9" s="21">
        <f>SUMIFS(PEDIDOS!$AI$4:$AI$200,PEDIDOS!$C$4:$C$200,"Singsun")</f>
        <v/>
      </c>
      <c r="C9" s="21">
        <f>SUMIFS(PEDIDOS!$AI$4:$AI$200,PEDIDOS!$C$4:$C$200,"Eaglerise")</f>
        <v/>
      </c>
      <c r="D9" s="2" t="inlineStr">
        <is>
          <t>Suma de la columna AI</t>
        </is>
      </c>
    </row>
    <row r="10">
      <c r="A10" s="16" t="inlineStr">
        <is>
          <t>Cupo disponible</t>
        </is>
      </c>
      <c r="B10" s="21">
        <f>B8-B9</f>
        <v/>
      </c>
      <c r="C10" s="21">
        <f>C8-C9</f>
        <v/>
      </c>
      <c r="D10" s="2" t="inlineStr">
        <is>
          <t>Negativo = sobregirado</t>
        </is>
      </c>
    </row>
    <row r="11">
      <c r="A11" s="16" t="inlineStr">
        <is>
          <t>Sin confirmar (proyección)</t>
        </is>
      </c>
      <c r="B11" s="21">
        <f>SUMIFS(PEDIDOS!$P$4:$P$200,PEDIDOS!$C$4:$C$200,"Singsun",PEDIDOS!$H$4:$H$200,"Por confirmar")</f>
        <v/>
      </c>
      <c r="C11" s="21">
        <f>SUMIFS(PEDIDOS!$P$4:$P$200,PEDIDOS!$C$4:$C$200,"Eaglerise",PEDIDOS!$H$4:$H$200,"Por confirmar")</f>
        <v/>
      </c>
      <c r="D11" s="2" t="inlineStr">
        <is>
          <t>Pedidos aún no confirmados</t>
        </is>
      </c>
    </row>
    <row r="12">
      <c r="A12" s="16" t="inlineStr">
        <is>
          <t>Disponible si se confirman</t>
        </is>
      </c>
      <c r="B12" s="21">
        <f>B10-B11</f>
        <v/>
      </c>
      <c r="C12" s="21">
        <f>C10-C11</f>
        <v/>
      </c>
    </row>
    <row r="14">
      <c r="A14" s="14" t="inlineStr">
        <is>
          <t>LO QUE SE LE DEBE A CHINA</t>
        </is>
      </c>
      <c r="B14" s="15" t="n"/>
      <c r="C14" s="15" t="n"/>
    </row>
    <row r="15">
      <c r="A15" s="16" t="inlineStr">
        <is>
          <t>Saldo con los fabricantes</t>
        </is>
      </c>
      <c r="B15" s="21">
        <f>SUM(PEDIDOS!$AA$4:$AA$200)</f>
        <v/>
      </c>
      <c r="C15" s="2" t="inlineStr">
        <is>
          <t>Lo cubre el cupo Sinosure</t>
        </is>
      </c>
    </row>
    <row r="16">
      <c r="A16" s="16" t="inlineStr">
        <is>
          <t>Saldo de otros componentes</t>
        </is>
      </c>
      <c r="B16" s="21">
        <f>SUM(PEDIDOS!$AD$4:$AD$200)</f>
        <v/>
      </c>
      <c r="C16" s="2" t="inlineStr">
        <is>
          <t>Por fuera del cupo · se paga de inmediato</t>
        </is>
      </c>
    </row>
    <row r="17">
      <c r="A17" s="12" t="inlineStr">
        <is>
          <t>SALDO TOTAL A CHINA</t>
        </is>
      </c>
      <c r="B17" s="22">
        <f>SUM(PEDIDOS!$AG$4:$AG$200)</f>
        <v/>
      </c>
    </row>
    <row r="18">
      <c r="A18" s="16" t="inlineStr">
        <is>
          <t>Vencido a hoy</t>
        </is>
      </c>
      <c r="B18" s="21">
        <f>SUMIFS(PEDIDOS!$V$4:$V$200,PEDIDOS!$X$4:$X$200,"Pendiente",PEDIDOS!$W$4:$W$200,"&lt;"&amp;TODAY())</f>
        <v/>
      </c>
      <c r="C18" s="2" t="inlineStr">
        <is>
          <t>Balances con fecha ya pasada</t>
        </is>
      </c>
    </row>
    <row r="20">
      <c r="A20" s="14" t="inlineStr">
        <is>
          <t>REVISIÓN ANTES DE ENVIAR</t>
        </is>
      </c>
      <c r="B20" s="15" t="n"/>
      <c r="C20" s="15" t="n"/>
    </row>
    <row r="21">
      <c r="A21" s="16" t="inlineStr">
        <is>
          <t>Pedidos cargados</t>
        </is>
      </c>
      <c r="B21" s="18">
        <f>COUNTA(PEDIDOS!$A$4:$A$200)</f>
        <v/>
      </c>
    </row>
    <row r="22">
      <c r="A22" s="16" t="inlineStr">
        <is>
          <t>Filas con alertas</t>
        </is>
      </c>
      <c r="B22" s="19">
        <f>COUNTIF(PEDIDOS!$AJ$4:$AJ$200,"?*")</f>
        <v/>
      </c>
      <c r="C22" s="2" t="inlineStr">
        <is>
          <t>Tiene que quedar en cero</t>
        </is>
      </c>
    </row>
    <row r="23">
      <c r="A23" s="16" t="inlineStr">
        <is>
          <t>Líneas de otros componentes con alertas</t>
        </is>
      </c>
      <c r="B23" s="19">
        <f>COUNTIF('OTROS COMPONENTES'!$I$4:$I$200,"?*")</f>
        <v/>
      </c>
      <c r="C23" s="2" t="inlineStr">
        <is>
          <t>Tiene que quedar en cero</t>
        </is>
      </c>
    </row>
  </sheetData>
  <mergeCells count="3">
    <mergeCell ref="A2:F2"/>
    <mergeCell ref="C4:F4"/>
    <mergeCell ref="A1:F1"/>
  </mergeCells>
  <dataValidations count="1">
    <dataValidation sqref="B4" showDropDown="0" showInputMessage="0" showErrorMessage="0" allowBlank="0" errorTitle="Regla del cupo" error="Elige una de las tres opciones." type="list">
      <formula1>"Saldo por pagar al fabricante,Monto completo del pedido,Monto en fábrica · saldo cuando embarque"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40" customWidth="1" min="1" max="1"/>
    <col width="108" customWidth="1" min="2" max="2"/>
  </cols>
  <sheetData>
    <row r="1">
      <c r="A1" s="11" t="inlineStr">
        <is>
          <t>CÓMO SE LLENA ESTE ARCHIVO</t>
        </is>
      </c>
    </row>
    <row r="2">
      <c r="A2" s="23" t="inlineStr">
        <is>
          <t>Zentrack · formato propuesto para reemplazar el ORDER REPORT y el Detailed order and operational fund report</t>
        </is>
      </c>
    </row>
    <row r="4" ht="20" customHeight="1">
      <c r="A4" s="14" t="inlineStr">
        <is>
          <t>LO QUE CAMBIA</t>
        </is>
      </c>
      <c r="B4" s="15" t="n"/>
    </row>
    <row r="5" ht="28" customHeight="1">
      <c r="A5" s="24" t="inlineStr">
        <is>
          <t>Un solo archivo</t>
        </is>
      </c>
      <c r="B5" s="25" t="inlineStr">
        <is>
          <t>Este archivo reemplaza al ORDER REPORT y al Detailed order and operational fund report. Todo lo que hoy está repartido en dos libros vive aquí, y nada se repite en dos sitios.</t>
        </is>
      </c>
    </row>
    <row r="6" ht="28" customHeight="1">
      <c r="A6" s="24" t="inlineStr">
        <is>
          <t>Tres hojas</t>
        </is>
      </c>
      <c r="B6" s="25" t="inlineStr">
        <is>
          <t>RESUMEN se calcula solo. PEDIDOS y OTROS COMPONENTES son las que se llenan. No hay que mantener una hoja de Sinosure aparte: el consumo de cupo sale de una fórmula por pedido.</t>
        </is>
      </c>
    </row>
    <row r="7" ht="28" customHeight="1">
      <c r="A7" s="24" t="inlineStr">
        <is>
          <t>Crema se llena, gris no se toca</t>
        </is>
      </c>
      <c r="B7" s="25" t="inlineStr">
        <is>
          <t>Las celdas con fondo crema son para escribir. Las grises tienen fórmulas: si se pisan con un número a mano, el archivo deja de cuadrar.</t>
        </is>
      </c>
    </row>
    <row r="9" ht="20" customHeight="1">
      <c r="A9" s="14" t="inlineStr">
        <is>
          <t>LAS DIEZ REGLAS</t>
        </is>
      </c>
      <c r="B9" s="15" t="n"/>
    </row>
    <row r="10" ht="28" customHeight="1">
      <c r="A10" s="24" t="inlineStr">
        <is>
          <t>1. Una fila por pedido</t>
        </is>
      </c>
      <c r="B10" s="25" t="inlineStr">
        <is>
          <t>Cada fila es un ID_Pedido y nada más. Si de la orden 7 salen el 7-2, el 7-3 y el 7-4, son tres filas.</t>
        </is>
      </c>
    </row>
    <row r="11" ht="42" customHeight="1">
      <c r="A11" s="24" t="inlineStr">
        <is>
          <t>2. Nunca la orden madre y sus pedidos a la vez</t>
        </is>
      </c>
      <c r="B11" s="25" t="inlineStr">
        <is>
          <t>Cuando una orden se parte, la fila de la orden completa se marca como Cerrado o se borra. Hoy el 7-5 aparece dos veces: una con 293.698 (que en realidad son el 7-5 al 7-9 juntos) y otra con 61.744. Esa duplicidad es la que descuadra el cupo.</t>
        </is>
      </c>
    </row>
    <row r="12" ht="28" customHeight="1">
      <c r="A12" s="24" t="inlineStr">
        <is>
          <t>3. Un proyecto por fila</t>
        </is>
      </c>
      <c r="B12" s="25" t="inlineStr">
        <is>
          <t>Si un pedido lleva dos proyectos, van dos filas. Nada de "Santo Tomás Sur 1/2" en una sola. Es la única forma de saber a qué proyecto se le carga cada dólar.</t>
        </is>
      </c>
    </row>
    <row r="13" ht="28" customHeight="1">
      <c r="A13" s="24" t="inlineStr">
        <is>
          <t>4. El ID_Pedido va limpio</t>
        </is>
      </c>
      <c r="B13" s="25" t="inlineStr">
        <is>
          <t>7-2, CFM3-4, 12. Sin nombres de proyecto pegados. Hoy hay IDs como "PO12 SOLARIS INGEV" o "PO#10 INGEV1 MARIANGOLA": el nombre va en la columna Proyecto.</t>
        </is>
      </c>
    </row>
    <row r="14" ht="28" customHeight="1">
      <c r="A14" s="24" t="inlineStr">
        <is>
          <t>5. Las listas son cerradas</t>
        </is>
      </c>
      <c r="B14" s="25" t="inlineStr">
        <is>
          <t>Fabricante, Equipo, Estado, Telex y los estados de pago se eligen de la lista desplegable. Escribir algo distinto hace que la celda lo rechace.</t>
        </is>
      </c>
    </row>
    <row r="15" ht="28" customHeight="1">
      <c r="A15" s="24" t="inlineStr">
        <is>
          <t>6. En dinero, nunca un guión</t>
        </is>
      </c>
      <c r="B15" s="25" t="inlineStr">
        <is>
          <t>Una celda de dinero lleva un número o se deja vacía. Un "-" o un "n/a" hace que el total deje de sumar.</t>
        </is>
      </c>
    </row>
    <row r="16" ht="28" customHeight="1">
      <c r="A16" s="24" t="inlineStr">
        <is>
          <t>7. El estado de un pago nunca va en blanco</t>
        </is>
      </c>
      <c r="B16" s="25" t="inlineStr">
        <is>
          <t>Pagado o Pendiente, siempre. Hoy hay pagos con monto y sin estado, y no hay forma de saber si esa plata ya salió.</t>
        </is>
      </c>
    </row>
    <row r="17" ht="16" customHeight="1">
      <c r="A17" s="24" t="inlineStr">
        <is>
          <t>8. Los montos no se redondean a mano</t>
        </is>
      </c>
      <c r="B17" s="25" t="inlineStr">
        <is>
          <t>El costo del fabricante se escribe tal como está en la orden. Las fórmulas hacen el resto.</t>
        </is>
      </c>
    </row>
    <row r="18" ht="42" customHeight="1">
      <c r="A18" s="24" t="inlineStr">
        <is>
          <t>9. Lo que no está confirmado va como Por confirmar</t>
        </is>
      </c>
      <c r="B18" s="25" t="inlineStr">
        <is>
          <t>Un pedido que todavía no se cierra con el fabricante se deja en ese estado: no consume cupo, pero queda visible en el RESUMEN como proyección. Hoy el PO16 no aparece en la hoja de Sinosure y no había forma de saber por qué.</t>
        </is>
      </c>
    </row>
    <row r="19" ht="28" customHeight="1">
      <c r="A19" s="24" t="inlineStr">
        <is>
          <t>10. La columna Alertas queda en cero</t>
        </is>
      </c>
      <c r="B19" s="25" t="inlineStr">
        <is>
          <t>Antes de enviar el archivo, revisa el RESUMEN: "Filas con alertas" tiene que decir 0. Si dice otra cosa, la columna Alertas de cada hoja dice exactamente qué falta.</t>
        </is>
      </c>
    </row>
    <row r="21" ht="20" customHeight="1">
      <c r="A21" s="14" t="inlineStr">
        <is>
          <t>CÓMO SE CALCULA EL CUPO SINOSURE</t>
        </is>
      </c>
      <c r="B21" s="15" t="n"/>
    </row>
    <row r="22" ht="28" customHeight="1">
      <c r="A22" s="24" t="inlineStr">
        <is>
          <t>La regla</t>
        </is>
      </c>
      <c r="B22" s="25" t="inlineStr">
        <is>
          <t>Un pedido Por confirmar o Cerrado no consume cupo. Un pedido ya embarcado consume el saldo que falta pagarle al fabricante. Un pedido que sigue en fábrica consume el costo completo.</t>
        </is>
      </c>
    </row>
    <row r="23" ht="42" customHeight="1">
      <c r="A23" s="24" t="inlineStr">
        <is>
          <t>Por qué así</t>
        </is>
      </c>
      <c r="B23" s="25" t="inlineStr">
        <is>
          <t>Es la regla que se dedujo de cómo está armada hoy la hoja de Sinosure. Con ella el archivo da los mismos totales que reporta hoy. Si la regla real es otra, se cambia la fórmula de la columna AI y todo lo demás se recalcula solo.</t>
        </is>
      </c>
    </row>
    <row r="24" ht="42" customHeight="1">
      <c r="A24" s="24" t="inlineStr">
        <is>
          <t>Lo que ya no hace falta</t>
        </is>
      </c>
      <c r="B24" s="25" t="inlineStr">
        <is>
          <t>La hoja de Sinosure aparte. Hoy sus renglones apuntan a celdas del Summary y hay dos que apuntan a la misma (el CFM 3.2 se cuenta dos veces, 103.040 de más). Con el consumo como columna por pedido eso no puede volver a pasar.</t>
        </is>
      </c>
    </row>
    <row r="26" ht="20" customHeight="1">
      <c r="A26" s="14" t="inlineStr">
        <is>
          <t>LO QUE NO VA EN ESTE ARCHIVO</t>
        </is>
      </c>
      <c r="B26" s="15" t="n"/>
    </row>
    <row r="27" ht="16" customHeight="1">
      <c r="A27" s="24" t="inlineStr">
        <is>
          <t>Precios de venta</t>
        </is>
      </c>
      <c r="B27" s="25" t="inlineStr">
        <is>
          <t>El precio al que Zentrack le vende a sus clientes no va aquí. Eso lo maneja Esteban aparte.</t>
        </is>
      </c>
    </row>
    <row r="28" ht="16" customHeight="1">
      <c r="A28" s="24" t="inlineStr">
        <is>
          <t>Facturas a clientes</t>
        </is>
      </c>
      <c r="B28" s="25" t="inlineStr">
        <is>
          <t>Tampoco. Este archivo es solo la relación con China.</t>
        </is>
      </c>
    </row>
    <row r="30" ht="20" customHeight="1">
      <c r="A30" s="14" t="inlineStr">
        <is>
          <t>SI APARECE ALGO NUEVO</t>
        </is>
      </c>
      <c r="B30" s="15" t="n"/>
    </row>
    <row r="31" ht="16" customHeight="1">
      <c r="A31" s="24" t="inlineStr">
        <is>
          <t>Un proveedor nuevo</t>
        </is>
      </c>
      <c r="B31" s="25" t="inlineStr">
        <is>
          <t>Se escribe en la hoja OTROS COMPONENTES y ya. No hay que agregar columnas.</t>
        </is>
      </c>
    </row>
    <row r="32" ht="28" customHeight="1">
      <c r="A32" s="24" t="inlineStr">
        <is>
          <t>Un pago extra</t>
        </is>
      </c>
      <c r="B32" s="25" t="inlineStr">
        <is>
          <t>Si un pedido necesita más de un anticipo o más de un balance, se suman en la misma celda y se aclara en Notas. Si empieza a pasar seguido, se agregan columnas.</t>
        </is>
      </c>
    </row>
    <row r="33" ht="16" customHeight="1">
      <c r="A33" s="24" t="inlineStr">
        <is>
          <t>Un cliente nuevo</t>
        </is>
      </c>
      <c r="B33" s="25" t="inlineStr">
        <is>
          <t>Se escribe en la columna Cliente. La lista es una ayuda, no una restricción.</t>
        </is>
      </c>
    </row>
    <row r="35">
      <c r="A35" s="14" t="inlineStr">
        <is>
          <t>LEYENDA DE COLORES</t>
        </is>
      </c>
      <c r="B35" s="15" t="n"/>
    </row>
    <row r="36">
      <c r="A36" s="26" t="inlineStr">
        <is>
          <t>  </t>
        </is>
      </c>
      <c r="B36" s="27" t="inlineStr">
        <is>
          <t>Se llena a mano</t>
        </is>
      </c>
    </row>
    <row r="37">
      <c r="A37" s="28" t="inlineStr">
        <is>
          <t>  </t>
        </is>
      </c>
      <c r="B37" s="29" t="inlineStr">
        <is>
          <t>Fórmula · no se toca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9" customWidth="1" min="2" max="2"/>
    <col width="12" customWidth="1" min="3" max="3"/>
    <col width="10" customWidth="1" min="4" max="4"/>
    <col width="6" customWidth="1" min="5" max="5"/>
    <col width="30" customWidth="1" min="6" max="6"/>
    <col width="15" customWidth="1" min="7" max="7"/>
    <col width="21" customWidth="1" min="8" max="8"/>
    <col width="14" customWidth="1" min="9" max="9"/>
    <col width="14" customWidth="1" min="10" max="10"/>
    <col width="12" customWidth="1" min="11" max="11"/>
    <col width="13" customWidth="1" min="12" max="12"/>
    <col width="12" customWidth="1" min="13" max="13"/>
    <col width="20" customWidth="1" min="14" max="14"/>
    <col width="10" customWidth="1" min="15" max="15"/>
    <col width="15" customWidth="1" min="16" max="16"/>
    <col width="10" customWidth="1" min="17" max="17"/>
    <col width="14" customWidth="1" min="18" max="18"/>
    <col width="13" customWidth="1" min="19" max="19"/>
    <col width="14" customWidth="1" min="20" max="20"/>
    <col width="15" customWidth="1" min="21" max="21"/>
    <col width="14" customWidth="1" min="22" max="22"/>
    <col width="13" customWidth="1" min="23" max="23"/>
    <col width="14" customWidth="1" min="24" max="24"/>
    <col width="15" customWidth="1" min="25" max="25"/>
    <col width="16" customWidth="1" min="26" max="26"/>
    <col width="17" customWidth="1" min="27" max="27"/>
    <col width="15" customWidth="1" min="28" max="28"/>
    <col width="15" customWidth="1" min="29" max="29"/>
    <col width="15" customWidth="1" min="30" max="30"/>
    <col width="15" customWidth="1" min="31" max="31"/>
    <col width="15" customWidth="1" min="32" max="32"/>
    <col width="17" customWidth="1" min="33" max="33"/>
    <col width="13" customWidth="1" min="34" max="34"/>
    <col width="16" customWidth="1" min="35" max="35"/>
    <col width="34" customWidth="1" min="36" max="36"/>
    <col width="34" customWidth="1" min="37" max="37"/>
  </cols>
  <sheetData>
    <row r="1">
      <c r="A1" s="1" t="inlineStr">
        <is>
          <t>ORDER REPORT ZENTRACK · hoja única</t>
        </is>
      </c>
    </row>
    <row r="2">
      <c r="A2" s="2" t="inlineStr">
        <is>
          <t>Una fila por pedido. Las columnas con fondo crema las llena Andrés; las grises son fórmulas y no se tocan. Revisa la columna Alertas antes de enviar el archivo.</t>
        </is>
      </c>
    </row>
    <row r="3" ht="38" customHeight="1">
      <c r="A3" s="3" t="inlineStr">
        <is>
          <t>ID_Pedido</t>
        </is>
      </c>
      <c r="B3" s="3" t="inlineStr">
        <is>
          <t>Orden</t>
        </is>
      </c>
      <c r="C3" s="3" t="inlineStr">
        <is>
          <t>Fabricante</t>
        </is>
      </c>
      <c r="D3" s="3" t="inlineStr">
        <is>
          <t>Equipo</t>
        </is>
      </c>
      <c r="E3" s="3" t="inlineStr">
        <is>
          <t>Cant.</t>
        </is>
      </c>
      <c r="F3" s="3" t="inlineStr">
        <is>
          <t>Proyecto</t>
        </is>
      </c>
      <c r="G3" s="3" t="inlineStr">
        <is>
          <t>Cliente</t>
        </is>
      </c>
      <c r="H3" s="3" t="inlineStr">
        <is>
          <t>Estado</t>
        </is>
      </c>
      <c r="I3" s="3" t="inlineStr">
        <is>
          <t>Fecha de pedido</t>
        </is>
      </c>
      <c r="J3" s="3" t="inlineStr">
        <is>
          <t>Fin de producción</t>
        </is>
      </c>
      <c r="K3" s="3" t="inlineStr">
        <is>
          <t>ETD</t>
        </is>
      </c>
      <c r="L3" s="3" t="inlineStr">
        <is>
          <t>Fecha BL real</t>
        </is>
      </c>
      <c r="M3" s="3" t="inlineStr">
        <is>
          <t>ETA</t>
        </is>
      </c>
      <c r="N3" s="3" t="inlineStr">
        <is>
          <t>BL No.</t>
        </is>
      </c>
      <c r="O3" s="3" t="inlineStr">
        <is>
          <t>Telex</t>
        </is>
      </c>
      <c r="P3" s="3" t="inlineStr">
        <is>
          <t>Costo fabricante</t>
        </is>
      </c>
      <c r="Q3" s="3" t="inlineStr">
        <is>
          <t>Anticipo %</t>
        </is>
      </c>
      <c r="R3" s="3" t="inlineStr">
        <is>
          <t>Anticipo USD</t>
        </is>
      </c>
      <c r="S3" s="3" t="inlineStr">
        <is>
          <t>Anticipo vence</t>
        </is>
      </c>
      <c r="T3" s="3" t="inlineStr">
        <is>
          <t>Anticipo estado</t>
        </is>
      </c>
      <c r="U3" s="3" t="inlineStr">
        <is>
          <t>Anticipo pagado el</t>
        </is>
      </c>
      <c r="V3" s="3" t="inlineStr">
        <is>
          <t>Balance USD</t>
        </is>
      </c>
      <c r="W3" s="3" t="inlineStr">
        <is>
          <t>Balance vence</t>
        </is>
      </c>
      <c r="X3" s="3" t="inlineStr">
        <is>
          <t>Balance estado</t>
        </is>
      </c>
      <c r="Y3" s="3" t="inlineStr">
        <is>
          <t>Balance pagado el</t>
        </is>
      </c>
      <c r="Z3" s="3" t="inlineStr">
        <is>
          <t>Pagado al fabricante</t>
        </is>
      </c>
      <c r="AA3" s="3" t="inlineStr">
        <is>
          <t>Saldo con el fabricante</t>
        </is>
      </c>
      <c r="AB3" s="3" t="inlineStr">
        <is>
          <t>Otros comp. monto</t>
        </is>
      </c>
      <c r="AC3" s="3" t="inlineStr">
        <is>
          <t>Otros comp. pagado</t>
        </is>
      </c>
      <c r="AD3" s="3" t="inlineStr">
        <is>
          <t>Otros comp. saldo</t>
        </is>
      </c>
      <c r="AE3" s="3" t="inlineStr">
        <is>
          <t>Costo total China</t>
        </is>
      </c>
      <c r="AF3" s="3" t="inlineStr">
        <is>
          <t>Pagado total China</t>
        </is>
      </c>
      <c r="AG3" s="3" t="inlineStr">
        <is>
          <t>SALDO TOTAL A CHINA</t>
        </is>
      </c>
      <c r="AH3" s="3" t="inlineStr">
        <is>
          <t>¿Consume cupo?</t>
        </is>
      </c>
      <c r="AI3" s="3" t="inlineStr">
        <is>
          <t>Consumo cupo Sinosure</t>
        </is>
      </c>
      <c r="AJ3" s="3" t="inlineStr">
        <is>
          <t>Alertas</t>
        </is>
      </c>
      <c r="AK3" s="3" t="inlineStr">
        <is>
          <t>Notas</t>
        </is>
      </c>
    </row>
    <row r="4">
      <c r="A4" s="4" t="inlineStr">
        <is>
          <t>7-2</t>
        </is>
      </c>
      <c r="B4" s="4" t="inlineStr">
        <is>
          <t>7</t>
        </is>
      </c>
      <c r="C4" s="4" t="inlineStr">
        <is>
          <t>Singsun</t>
        </is>
      </c>
      <c r="D4" s="4" t="inlineStr">
        <is>
          <t>Tracker</t>
        </is>
      </c>
      <c r="E4" s="4" t="n">
        <v>2</v>
      </c>
      <c r="F4" s="4" t="inlineStr">
        <is>
          <t>Santo Tomás Sur 1/2</t>
        </is>
      </c>
      <c r="G4" s="4" t="inlineStr">
        <is>
          <t>Solenium</t>
        </is>
      </c>
      <c r="H4" s="4" t="inlineStr">
        <is>
          <t>Embarcado</t>
        </is>
      </c>
      <c r="I4" s="5" t="n"/>
      <c r="J4" s="5" t="n">
        <v>46113</v>
      </c>
      <c r="K4" s="5" t="n">
        <v>46206</v>
      </c>
      <c r="L4" s="5" t="n"/>
      <c r="M4" s="5" t="n">
        <v>46229</v>
      </c>
      <c r="N4" s="4" t="inlineStr">
        <is>
          <t>NSHEC260656679/680</t>
        </is>
      </c>
      <c r="O4" s="4" t="inlineStr">
        <is>
          <t>Released</t>
        </is>
      </c>
      <c r="P4" s="20" t="n">
        <v>132361.2</v>
      </c>
      <c r="Q4" s="30" t="n">
        <v>0.1</v>
      </c>
      <c r="R4" s="21">
        <f>IF($A4="","",ROUND(P4*Q4,2))</f>
        <v/>
      </c>
      <c r="S4" s="5" t="n"/>
      <c r="T4" s="4" t="inlineStr">
        <is>
          <t>Pagado</t>
        </is>
      </c>
      <c r="U4" s="5" t="n">
        <v>46094</v>
      </c>
      <c r="V4" s="21">
        <f>IF($A4="","",ROUND(P4-R4,2))</f>
        <v/>
      </c>
      <c r="W4" s="5" t="n">
        <v>46296</v>
      </c>
      <c r="X4" s="4" t="inlineStr">
        <is>
          <t>Pendiente</t>
        </is>
      </c>
      <c r="Y4" s="5" t="n"/>
      <c r="Z4" s="21">
        <f>IF($A4="","",IF(T4="Pagado",N(R4),0)+IF(X4="Pagado",N(V4),0))</f>
        <v/>
      </c>
      <c r="AA4" s="21">
        <f>IF($A4="","",ROUND(N(P4)-N(Z4),2))</f>
        <v/>
      </c>
      <c r="AB4" s="21">
        <f>IF($A4="","",SUMIF('OTROS COMPONENTES'!$A$4:$A$200,$A4,'OTROS COMPONENTES'!$D$4:$D$200))</f>
        <v/>
      </c>
      <c r="AC4" s="21">
        <f>IF($A4="","",SUMIF('OTROS COMPONENTES'!$A$4:$A$200,$A4,'OTROS COMPONENTES'!$E$4:$E$200))</f>
        <v/>
      </c>
      <c r="AD4" s="21">
        <f>IF($A4="","",ROUND(N(AB4)-N(AC4),2))</f>
        <v/>
      </c>
      <c r="AE4" s="21">
        <f>IF($A4="","",ROUND(N(P4)+N(AB4),2))</f>
        <v/>
      </c>
      <c r="AF4" s="21">
        <f>IF($A4="","",ROUND(N(Z4)+N(AC4),2))</f>
        <v/>
      </c>
      <c r="AG4" s="21">
        <f>IF($A4="","",ROUND(N(AA4)+N(AD4),2))</f>
        <v/>
      </c>
      <c r="AH4" s="9">
        <f>IF($A4="","",IF(OR($H4="Por confirmar",$H4="Cerrado"),"No","Sí"))</f>
        <v/>
      </c>
      <c r="AI4" s="21">
        <f>IF($A4="","",IF(AH4="No",0,IF(RESUMEN!$B$4="Saldo por pagar al fabricante",AA4,IF(RESUMEN!$B$4="Monto completo del pedido",P4,IF(OR($H4="Embarcando",$H4="Embarcado"),N(AA4),N(P4))))))</f>
        <v/>
      </c>
      <c r="AJ4" s="10">
        <f>IF($A4="","",IF(COUNTIF($A$4:$A$200,$A4)&gt;1,"ID_Pedido repetido",IF(N($P4)&lt;=0,"Falta el costo del fabricante",IF($F4="","Falta el proyecto",IF($G4="","Falta el cliente",IF(AND($H4&lt;&gt;"Por confirmar",N($R4)&gt;0,$T4=""),"Falta el estado del anticipo",IF(AND($H4&lt;&gt;"Por confirmar",N($V4)&gt;0,$X4=""),"Falta el estado del balance",IF($E4&gt;1,""&amp;$E4&amp;" equipos en una fila: pártela en una por proyecto",IF(AND($X4="Pendiente",N($V4)&gt;0,$W4=""),"Falta la fecha en que vence el balance",IF(AND($H4&lt;&gt;"Por confirmar",$H4&lt;&gt;"Cerrado",$AI4=0),"Consume 0 de cupo pero no está Por confirmar",""))))))))))</f>
        <v/>
      </c>
      <c r="AK4" s="4" t="inlineStr"/>
    </row>
    <row r="5">
      <c r="A5" s="4" t="inlineStr">
        <is>
          <t>7-3</t>
        </is>
      </c>
      <c r="B5" s="4" t="inlineStr">
        <is>
          <t>7</t>
        </is>
      </c>
      <c r="C5" s="4" t="inlineStr">
        <is>
          <t>Singsun</t>
        </is>
      </c>
      <c r="D5" s="4" t="inlineStr">
        <is>
          <t>Tracker</t>
        </is>
      </c>
      <c r="E5" s="4" t="n">
        <v>2</v>
      </c>
      <c r="F5" s="4" t="inlineStr">
        <is>
          <t>San Diego Sur 1, Santo Tomas Sur 3</t>
        </is>
      </c>
      <c r="G5" s="4" t="inlineStr">
        <is>
          <t>Solenium</t>
        </is>
      </c>
      <c r="H5" s="4" t="inlineStr">
        <is>
          <t>Embarcado</t>
        </is>
      </c>
      <c r="I5" s="5" t="n"/>
      <c r="J5" s="5" t="n">
        <v>46113</v>
      </c>
      <c r="K5" s="5" t="n">
        <v>46213</v>
      </c>
      <c r="L5" s="5" t="n"/>
      <c r="M5" s="5" t="n">
        <v>46236</v>
      </c>
      <c r="N5" s="4" t="inlineStr">
        <is>
          <t>NSHEC260657564/565</t>
        </is>
      </c>
      <c r="O5" s="4" t="inlineStr">
        <is>
          <t>Released</t>
        </is>
      </c>
      <c r="P5" s="20" t="n">
        <v>126166.93</v>
      </c>
      <c r="Q5" s="30" t="n">
        <v>0.1</v>
      </c>
      <c r="R5" s="21">
        <f>IF($A5="","",ROUND(P5*Q5,2))</f>
        <v/>
      </c>
      <c r="S5" s="5" t="n"/>
      <c r="T5" s="4" t="inlineStr">
        <is>
          <t>Pagado</t>
        </is>
      </c>
      <c r="U5" s="5" t="n">
        <v>46094</v>
      </c>
      <c r="V5" s="21">
        <f>IF($A5="","",ROUND(P5-R5,2))</f>
        <v/>
      </c>
      <c r="W5" s="5" t="n">
        <v>46303</v>
      </c>
      <c r="X5" s="4" t="inlineStr">
        <is>
          <t>Pendiente</t>
        </is>
      </c>
      <c r="Y5" s="5" t="n"/>
      <c r="Z5" s="21">
        <f>IF($A5="","",IF(T5="Pagado",N(R5),0)+IF(X5="Pagado",N(V5),0))</f>
        <v/>
      </c>
      <c r="AA5" s="21">
        <f>IF($A5="","",ROUND(N(P5)-N(Z5),2))</f>
        <v/>
      </c>
      <c r="AB5" s="21">
        <f>IF($A5="","",SUMIF('OTROS COMPONENTES'!$A$4:$A$200,$A5,'OTROS COMPONENTES'!$D$4:$D$200))</f>
        <v/>
      </c>
      <c r="AC5" s="21">
        <f>IF($A5="","",SUMIF('OTROS COMPONENTES'!$A$4:$A$200,$A5,'OTROS COMPONENTES'!$E$4:$E$200))</f>
        <v/>
      </c>
      <c r="AD5" s="21">
        <f>IF($A5="","",ROUND(N(AB5)-N(AC5),2))</f>
        <v/>
      </c>
      <c r="AE5" s="21">
        <f>IF($A5="","",ROUND(N(P5)+N(AB5),2))</f>
        <v/>
      </c>
      <c r="AF5" s="21">
        <f>IF($A5="","",ROUND(N(Z5)+N(AC5),2))</f>
        <v/>
      </c>
      <c r="AG5" s="21">
        <f>IF($A5="","",ROUND(N(AA5)+N(AD5),2))</f>
        <v/>
      </c>
      <c r="AH5" s="9">
        <f>IF($A5="","",IF(OR($H5="Por confirmar",$H5="Cerrado"),"No","Sí"))</f>
        <v/>
      </c>
      <c r="AI5" s="21">
        <f>IF($A5="","",IF(AH5="No",0,IF(RESUMEN!$B$4="Saldo por pagar al fabricante",AA5,IF(RESUMEN!$B$4="Monto completo del pedido",P5,IF(OR($H5="Embarcando",$H5="Embarcado"),N(AA5),N(P5))))))</f>
        <v/>
      </c>
      <c r="AJ5" s="10">
        <f>IF($A5="","",IF(COUNTIF($A$4:$A$200,$A5)&gt;1,"ID_Pedido repetido",IF(N($P5)&lt;=0,"Falta el costo del fabricante",IF($F5="","Falta el proyecto",IF($G5="","Falta el cliente",IF(AND($H5&lt;&gt;"Por confirmar",N($R5)&gt;0,$T5=""),"Falta el estado del anticipo",IF(AND($H5&lt;&gt;"Por confirmar",N($V5)&gt;0,$X5=""),"Falta el estado del balance",IF($E5&gt;1,""&amp;$E5&amp;" equipos en una fila: pártela en una por proyecto",IF(AND($X5="Pendiente",N($V5)&gt;0,$W5=""),"Falta la fecha en que vence el balance",IF(AND($H5&lt;&gt;"Por confirmar",$H5&lt;&gt;"Cerrado",$AI5=0),"Consume 0 de cupo pero no está Por confirmar",""))))))))))</f>
        <v/>
      </c>
      <c r="AK5" s="4" t="inlineStr"/>
    </row>
    <row r="6">
      <c r="A6" s="4" t="inlineStr">
        <is>
          <t>7-4</t>
        </is>
      </c>
      <c r="B6" s="4" t="inlineStr">
        <is>
          <t>7</t>
        </is>
      </c>
      <c r="C6" s="4" t="inlineStr">
        <is>
          <t>Singsun</t>
        </is>
      </c>
      <c r="D6" s="4" t="inlineStr">
        <is>
          <t>Tracker</t>
        </is>
      </c>
      <c r="E6" s="4" t="n">
        <v>2</v>
      </c>
      <c r="F6" s="4" t="inlineStr">
        <is>
          <t>San Diego Sur 2, Piojo 1</t>
        </is>
      </c>
      <c r="G6" s="4" t="inlineStr">
        <is>
          <t>Solenium</t>
        </is>
      </c>
      <c r="H6" s="4" t="inlineStr">
        <is>
          <t>Embarcado</t>
        </is>
      </c>
      <c r="I6" s="5" t="n"/>
      <c r="J6" s="5" t="n">
        <v>46113</v>
      </c>
      <c r="K6" s="5" t="n">
        <v>46217</v>
      </c>
      <c r="L6" s="5" t="n"/>
      <c r="M6" s="5" t="n">
        <v>46240</v>
      </c>
      <c r="N6" s="4" t="inlineStr">
        <is>
          <t>NSHEC260657312/7946</t>
        </is>
      </c>
      <c r="O6" s="4" t="inlineStr">
        <is>
          <t>Released</t>
        </is>
      </c>
      <c r="P6" s="20" t="n">
        <v>120836.19</v>
      </c>
      <c r="Q6" s="30" t="n">
        <v>0.1</v>
      </c>
      <c r="R6" s="21">
        <f>IF($A6="","",ROUND(P6*Q6,2))</f>
        <v/>
      </c>
      <c r="S6" s="5" t="n"/>
      <c r="T6" s="4" t="inlineStr">
        <is>
          <t>Pagado</t>
        </is>
      </c>
      <c r="U6" s="5" t="n">
        <v>46094</v>
      </c>
      <c r="V6" s="21">
        <f>IF($A6="","",ROUND(P6-R6,2))</f>
        <v/>
      </c>
      <c r="W6" s="5" t="n">
        <v>46307</v>
      </c>
      <c r="X6" s="4" t="inlineStr">
        <is>
          <t>Pendiente</t>
        </is>
      </c>
      <c r="Y6" s="5" t="n"/>
      <c r="Z6" s="21">
        <f>IF($A6="","",IF(T6="Pagado",N(R6),0)+IF(X6="Pagado",N(V6),0))</f>
        <v/>
      </c>
      <c r="AA6" s="21">
        <f>IF($A6="","",ROUND(N(P6)-N(Z6),2))</f>
        <v/>
      </c>
      <c r="AB6" s="21">
        <f>IF($A6="","",SUMIF('OTROS COMPONENTES'!$A$4:$A$200,$A6,'OTROS COMPONENTES'!$D$4:$D$200))</f>
        <v/>
      </c>
      <c r="AC6" s="21">
        <f>IF($A6="","",SUMIF('OTROS COMPONENTES'!$A$4:$A$200,$A6,'OTROS COMPONENTES'!$E$4:$E$200))</f>
        <v/>
      </c>
      <c r="AD6" s="21">
        <f>IF($A6="","",ROUND(N(AB6)-N(AC6),2))</f>
        <v/>
      </c>
      <c r="AE6" s="21">
        <f>IF($A6="","",ROUND(N(P6)+N(AB6),2))</f>
        <v/>
      </c>
      <c r="AF6" s="21">
        <f>IF($A6="","",ROUND(N(Z6)+N(AC6),2))</f>
        <v/>
      </c>
      <c r="AG6" s="21">
        <f>IF($A6="","",ROUND(N(AA6)+N(AD6),2))</f>
        <v/>
      </c>
      <c r="AH6" s="9">
        <f>IF($A6="","",IF(OR($H6="Por confirmar",$H6="Cerrado"),"No","Sí"))</f>
        <v/>
      </c>
      <c r="AI6" s="21">
        <f>IF($A6="","",IF(AH6="No",0,IF(RESUMEN!$B$4="Saldo por pagar al fabricante",AA6,IF(RESUMEN!$B$4="Monto completo del pedido",P6,IF(OR($H6="Embarcando",$H6="Embarcado"),N(AA6),N(P6))))))</f>
        <v/>
      </c>
      <c r="AJ6" s="10">
        <f>IF($A6="","",IF(COUNTIF($A$4:$A$200,$A6)&gt;1,"ID_Pedido repetido",IF(N($P6)&lt;=0,"Falta el costo del fabricante",IF($F6="","Falta el proyecto",IF($G6="","Falta el cliente",IF(AND($H6&lt;&gt;"Por confirmar",N($R6)&gt;0,$T6=""),"Falta el estado del anticipo",IF(AND($H6&lt;&gt;"Por confirmar",N($V6)&gt;0,$X6=""),"Falta el estado del balance",IF($E6&gt;1,""&amp;$E6&amp;" equipos en una fila: pártela en una por proyecto",IF(AND($X6="Pendiente",N($V6)&gt;0,$W6=""),"Falta la fecha en que vence el balance",IF(AND($H6&lt;&gt;"Por confirmar",$H6&lt;&gt;"Cerrado",$AI6=0),"Consume 0 de cupo pero no está Por confirmar",""))))))))))</f>
        <v/>
      </c>
      <c r="AK6" s="4" t="inlineStr"/>
    </row>
    <row r="7">
      <c r="A7" s="4" t="inlineStr">
        <is>
          <t>7-5</t>
        </is>
      </c>
      <c r="B7" s="4" t="inlineStr">
        <is>
          <t>7</t>
        </is>
      </c>
      <c r="C7" s="4" t="inlineStr">
        <is>
          <t>Singsun</t>
        </is>
      </c>
      <c r="D7" s="4" t="inlineStr">
        <is>
          <t>Tracker</t>
        </is>
      </c>
      <c r="E7" s="4" t="n">
        <v>1</v>
      </c>
      <c r="F7" s="4" t="inlineStr">
        <is>
          <t>Santo Tomas Sur 1 CFM (La Paz Junglar)</t>
        </is>
      </c>
      <c r="G7" s="4" t="inlineStr">
        <is>
          <t>Solenium</t>
        </is>
      </c>
      <c r="H7" s="4" t="inlineStr">
        <is>
          <t>Embarcando</t>
        </is>
      </c>
      <c r="I7" s="5" t="n"/>
      <c r="J7" s="5" t="n">
        <v>46113</v>
      </c>
      <c r="K7" s="5" t="n">
        <v>46295</v>
      </c>
      <c r="L7" s="5" t="n"/>
      <c r="M7" s="5" t="n">
        <v>46318</v>
      </c>
      <c r="N7" s="4" t="inlineStr"/>
      <c r="O7" s="4" t="inlineStr">
        <is>
          <t>Pending</t>
        </is>
      </c>
      <c r="P7" s="20" t="n">
        <v>61744.43</v>
      </c>
      <c r="Q7" s="30" t="n">
        <v>0.1</v>
      </c>
      <c r="R7" s="21">
        <f>IF($A7="","",ROUND(P7*Q7,2))</f>
        <v/>
      </c>
      <c r="S7" s="5" t="n"/>
      <c r="T7" s="4" t="inlineStr">
        <is>
          <t>Pagado</t>
        </is>
      </c>
      <c r="U7" s="5" t="n">
        <v>46094</v>
      </c>
      <c r="V7" s="21">
        <f>IF($A7="","",ROUND(P7-R7,2))</f>
        <v/>
      </c>
      <c r="W7" s="5" t="n"/>
      <c r="X7" s="4" t="inlineStr">
        <is>
          <t>Pendiente</t>
        </is>
      </c>
      <c r="Y7" s="5" t="n"/>
      <c r="Z7" s="21">
        <f>IF($A7="","",IF(T7="Pagado",N(R7),0)+IF(X7="Pagado",N(V7),0))</f>
        <v/>
      </c>
      <c r="AA7" s="21">
        <f>IF($A7="","",ROUND(N(P7)-N(Z7),2))</f>
        <v/>
      </c>
      <c r="AB7" s="21">
        <f>IF($A7="","",SUMIF('OTROS COMPONENTES'!$A$4:$A$200,$A7,'OTROS COMPONENTES'!$D$4:$D$200))</f>
        <v/>
      </c>
      <c r="AC7" s="21">
        <f>IF($A7="","",SUMIF('OTROS COMPONENTES'!$A$4:$A$200,$A7,'OTROS COMPONENTES'!$E$4:$E$200))</f>
        <v/>
      </c>
      <c r="AD7" s="21">
        <f>IF($A7="","",ROUND(N(AB7)-N(AC7),2))</f>
        <v/>
      </c>
      <c r="AE7" s="21">
        <f>IF($A7="","",ROUND(N(P7)+N(AB7),2))</f>
        <v/>
      </c>
      <c r="AF7" s="21">
        <f>IF($A7="","",ROUND(N(Z7)+N(AC7),2))</f>
        <v/>
      </c>
      <c r="AG7" s="21">
        <f>IF($A7="","",ROUND(N(AA7)+N(AD7),2))</f>
        <v/>
      </c>
      <c r="AH7" s="9">
        <f>IF($A7="","",IF(OR($H7="Por confirmar",$H7="Cerrado"),"No","Sí"))</f>
        <v/>
      </c>
      <c r="AI7" s="21">
        <f>IF($A7="","",IF(AH7="No",0,IF(RESUMEN!$B$4="Saldo por pagar al fabricante",AA7,IF(RESUMEN!$B$4="Monto completo del pedido",P7,IF(OR($H7="Embarcando",$H7="Embarcado"),N(AA7),N(P7))))))</f>
        <v/>
      </c>
      <c r="AJ7" s="10">
        <f>IF($A7="","",IF(COUNTIF($A$4:$A$200,$A7)&gt;1,"ID_Pedido repetido",IF(N($P7)&lt;=0,"Falta el costo del fabricante",IF($F7="","Falta el proyecto",IF($G7="","Falta el cliente",IF(AND($H7&lt;&gt;"Por confirmar",N($R7)&gt;0,$T7=""),"Falta el estado del anticipo",IF(AND($H7&lt;&gt;"Por confirmar",N($V7)&gt;0,$X7=""),"Falta el estado del balance",IF($E7&gt;1,""&amp;$E7&amp;" equipos en una fila: pártela en una por proyecto",IF(AND($X7="Pendiente",N($V7)&gt;0,$W7=""),"Falta la fecha en que vence el balance",IF(AND($H7&lt;&gt;"Por confirmar",$H7&lt;&gt;"Cerrado",$AI7=0),"Consume 0 de cupo pero no está Por confirmar",""))))))))))</f>
        <v/>
      </c>
      <c r="AK7" s="4" t="inlineStr"/>
    </row>
    <row r="8">
      <c r="A8" s="4" t="inlineStr">
        <is>
          <t>7-6</t>
        </is>
      </c>
      <c r="B8" s="4" t="inlineStr">
        <is>
          <t>7</t>
        </is>
      </c>
      <c r="C8" s="4" t="inlineStr">
        <is>
          <t>Singsun</t>
        </is>
      </c>
      <c r="D8" s="4" t="inlineStr">
        <is>
          <t>Tracker</t>
        </is>
      </c>
      <c r="E8" s="4" t="n">
        <v>1</v>
      </c>
      <c r="F8" s="4" t="inlineStr">
        <is>
          <t>Paratebueno (Piojo 2)</t>
        </is>
      </c>
      <c r="G8" s="4" t="inlineStr">
        <is>
          <t>Solenium</t>
        </is>
      </c>
      <c r="H8" s="4" t="inlineStr">
        <is>
          <t>Embarcando</t>
        </is>
      </c>
      <c r="I8" s="5" t="n"/>
      <c r="J8" s="5" t="n">
        <v>46113</v>
      </c>
      <c r="K8" s="5" t="n"/>
      <c r="L8" s="5" t="n"/>
      <c r="M8" s="5" t="n"/>
      <c r="N8" s="4" t="inlineStr"/>
      <c r="O8" s="4" t="inlineStr">
        <is>
          <t>Pending</t>
        </is>
      </c>
      <c r="P8" s="20" t="n">
        <v>60849.86</v>
      </c>
      <c r="Q8" s="30" t="n">
        <v>0.1</v>
      </c>
      <c r="R8" s="21">
        <f>IF($A8="","",ROUND(P8*Q8,2))</f>
        <v/>
      </c>
      <c r="S8" s="5" t="n"/>
      <c r="T8" s="4" t="inlineStr">
        <is>
          <t>Pagado</t>
        </is>
      </c>
      <c r="U8" s="5" t="n">
        <v>46094</v>
      </c>
      <c r="V8" s="21">
        <f>IF($A8="","",ROUND(P8-R8,2))</f>
        <v/>
      </c>
      <c r="W8" s="5" t="n"/>
      <c r="X8" s="4" t="inlineStr">
        <is>
          <t>Pendiente</t>
        </is>
      </c>
      <c r="Y8" s="5" t="n"/>
      <c r="Z8" s="21">
        <f>IF($A8="","",IF(T8="Pagado",N(R8),0)+IF(X8="Pagado",N(V8),0))</f>
        <v/>
      </c>
      <c r="AA8" s="21">
        <f>IF($A8="","",ROUND(N(P8)-N(Z8),2))</f>
        <v/>
      </c>
      <c r="AB8" s="21">
        <f>IF($A8="","",SUMIF('OTROS COMPONENTES'!$A$4:$A$200,$A8,'OTROS COMPONENTES'!$D$4:$D$200))</f>
        <v/>
      </c>
      <c r="AC8" s="21">
        <f>IF($A8="","",SUMIF('OTROS COMPONENTES'!$A$4:$A$200,$A8,'OTROS COMPONENTES'!$E$4:$E$200))</f>
        <v/>
      </c>
      <c r="AD8" s="21">
        <f>IF($A8="","",ROUND(N(AB8)-N(AC8),2))</f>
        <v/>
      </c>
      <c r="AE8" s="21">
        <f>IF($A8="","",ROUND(N(P8)+N(AB8),2))</f>
        <v/>
      </c>
      <c r="AF8" s="21">
        <f>IF($A8="","",ROUND(N(Z8)+N(AC8),2))</f>
        <v/>
      </c>
      <c r="AG8" s="21">
        <f>IF($A8="","",ROUND(N(AA8)+N(AD8),2))</f>
        <v/>
      </c>
      <c r="AH8" s="9">
        <f>IF($A8="","",IF(OR($H8="Por confirmar",$H8="Cerrado"),"No","Sí"))</f>
        <v/>
      </c>
      <c r="AI8" s="21">
        <f>IF($A8="","",IF(AH8="No",0,IF(RESUMEN!$B$4="Saldo por pagar al fabricante",AA8,IF(RESUMEN!$B$4="Monto completo del pedido",P8,IF(OR($H8="Embarcando",$H8="Embarcado"),N(AA8),N(P8))))))</f>
        <v/>
      </c>
      <c r="AJ8" s="10">
        <f>IF($A8="","",IF(COUNTIF($A$4:$A$200,$A8)&gt;1,"ID_Pedido repetido",IF(N($P8)&lt;=0,"Falta el costo del fabricante",IF($F8="","Falta el proyecto",IF($G8="","Falta el cliente",IF(AND($H8&lt;&gt;"Por confirmar",N($R8)&gt;0,$T8=""),"Falta el estado del anticipo",IF(AND($H8&lt;&gt;"Por confirmar",N($V8)&gt;0,$X8=""),"Falta el estado del balance",IF($E8&gt;1,""&amp;$E8&amp;" equipos en una fila: pártela en una por proyecto",IF(AND($X8="Pendiente",N($V8)&gt;0,$W8=""),"Falta la fecha en que vence el balance",IF(AND($H8&lt;&gt;"Por confirmar",$H8&lt;&gt;"Cerrado",$AI8=0),"Consume 0 de cupo pero no está Por confirmar",""))))))))))</f>
        <v/>
      </c>
      <c r="AK8" s="4" t="inlineStr"/>
    </row>
    <row r="9">
      <c r="A9" s="4" t="inlineStr">
        <is>
          <t>7-7</t>
        </is>
      </c>
      <c r="B9" s="4" t="inlineStr">
        <is>
          <t>7</t>
        </is>
      </c>
      <c r="C9" s="4" t="inlineStr">
        <is>
          <t>Singsun</t>
        </is>
      </c>
      <c r="D9" s="4" t="inlineStr">
        <is>
          <t>Tracker</t>
        </is>
      </c>
      <c r="E9" s="4" t="n">
        <v>1</v>
      </c>
      <c r="F9" s="4" t="inlineStr">
        <is>
          <t>Paratebueno 2 (Piojo 3)</t>
        </is>
      </c>
      <c r="G9" s="4" t="inlineStr">
        <is>
          <t>Solenium</t>
        </is>
      </c>
      <c r="H9" s="4" t="inlineStr">
        <is>
          <t>Embarcando</t>
        </is>
      </c>
      <c r="I9" s="5" t="n"/>
      <c r="J9" s="5" t="n">
        <v>46113</v>
      </c>
      <c r="K9" s="5" t="n"/>
      <c r="L9" s="5" t="n"/>
      <c r="M9" s="5" t="n"/>
      <c r="N9" s="4" t="inlineStr"/>
      <c r="O9" s="4" t="inlineStr">
        <is>
          <t>Pending</t>
        </is>
      </c>
      <c r="P9" s="20" t="n">
        <v>60849.86</v>
      </c>
      <c r="Q9" s="30" t="n">
        <v>0.1</v>
      </c>
      <c r="R9" s="21">
        <f>IF($A9="","",ROUND(P9*Q9,2))</f>
        <v/>
      </c>
      <c r="S9" s="5" t="n"/>
      <c r="T9" s="4" t="inlineStr">
        <is>
          <t>Pagado</t>
        </is>
      </c>
      <c r="U9" s="5" t="n">
        <v>46094</v>
      </c>
      <c r="V9" s="21">
        <f>IF($A9="","",ROUND(P9-R9,2))</f>
        <v/>
      </c>
      <c r="W9" s="5" t="n"/>
      <c r="X9" s="4" t="inlineStr">
        <is>
          <t>Pendiente</t>
        </is>
      </c>
      <c r="Y9" s="5" t="n"/>
      <c r="Z9" s="21">
        <f>IF($A9="","",IF(T9="Pagado",N(R9),0)+IF(X9="Pagado",N(V9),0))</f>
        <v/>
      </c>
      <c r="AA9" s="21">
        <f>IF($A9="","",ROUND(N(P9)-N(Z9),2))</f>
        <v/>
      </c>
      <c r="AB9" s="21">
        <f>IF($A9="","",SUMIF('OTROS COMPONENTES'!$A$4:$A$200,$A9,'OTROS COMPONENTES'!$D$4:$D$200))</f>
        <v/>
      </c>
      <c r="AC9" s="21">
        <f>IF($A9="","",SUMIF('OTROS COMPONENTES'!$A$4:$A$200,$A9,'OTROS COMPONENTES'!$E$4:$E$200))</f>
        <v/>
      </c>
      <c r="AD9" s="21">
        <f>IF($A9="","",ROUND(N(AB9)-N(AC9),2))</f>
        <v/>
      </c>
      <c r="AE9" s="21">
        <f>IF($A9="","",ROUND(N(P9)+N(AB9),2))</f>
        <v/>
      </c>
      <c r="AF9" s="21">
        <f>IF($A9="","",ROUND(N(Z9)+N(AC9),2))</f>
        <v/>
      </c>
      <c r="AG9" s="21">
        <f>IF($A9="","",ROUND(N(AA9)+N(AD9),2))</f>
        <v/>
      </c>
      <c r="AH9" s="9">
        <f>IF($A9="","",IF(OR($H9="Por confirmar",$H9="Cerrado"),"No","Sí"))</f>
        <v/>
      </c>
      <c r="AI9" s="21">
        <f>IF($A9="","",IF(AH9="No",0,IF(RESUMEN!$B$4="Saldo por pagar al fabricante",AA9,IF(RESUMEN!$B$4="Monto completo del pedido",P9,IF(OR($H9="Embarcando",$H9="Embarcado"),N(AA9),N(P9))))))</f>
        <v/>
      </c>
      <c r="AJ9" s="10">
        <f>IF($A9="","",IF(COUNTIF($A$4:$A$200,$A9)&gt;1,"ID_Pedido repetido",IF(N($P9)&lt;=0,"Falta el costo del fabricante",IF($F9="","Falta el proyecto",IF($G9="","Falta el cliente",IF(AND($H9&lt;&gt;"Por confirmar",N($R9)&gt;0,$T9=""),"Falta el estado del anticipo",IF(AND($H9&lt;&gt;"Por confirmar",N($V9)&gt;0,$X9=""),"Falta el estado del balance",IF($E9&gt;1,""&amp;$E9&amp;" equipos en una fila: pártela en una por proyecto",IF(AND($X9="Pendiente",N($V9)&gt;0,$W9=""),"Falta la fecha en que vence el balance",IF(AND($H9&lt;&gt;"Por confirmar",$H9&lt;&gt;"Cerrado",$AI9=0),"Consume 0 de cupo pero no está Por confirmar",""))))))))))</f>
        <v/>
      </c>
      <c r="AK9" s="4" t="inlineStr"/>
    </row>
    <row r="10">
      <c r="A10" s="4" t="inlineStr">
        <is>
          <t>7-8</t>
        </is>
      </c>
      <c r="B10" s="4" t="inlineStr">
        <is>
          <t>7</t>
        </is>
      </c>
      <c r="C10" s="4" t="inlineStr">
        <is>
          <t>Singsun</t>
        </is>
      </c>
      <c r="D10" s="4" t="inlineStr">
        <is>
          <t>Tracker</t>
        </is>
      </c>
      <c r="E10" s="4" t="n">
        <v>1</v>
      </c>
      <c r="F10" s="4" t="inlineStr">
        <is>
          <t>Paratebueno 2 (Piojo 3)</t>
        </is>
      </c>
      <c r="G10" s="4" t="inlineStr">
        <is>
          <t>Solenium</t>
        </is>
      </c>
      <c r="H10" s="4" t="inlineStr">
        <is>
          <t>Embarque reservado</t>
        </is>
      </c>
      <c r="I10" s="5" t="n"/>
      <c r="J10" s="5" t="n">
        <v>46113</v>
      </c>
      <c r="K10" s="5" t="n"/>
      <c r="L10" s="5" t="n"/>
      <c r="M10" s="5" t="n"/>
      <c r="N10" s="4" t="inlineStr"/>
      <c r="O10" s="4" t="inlineStr">
        <is>
          <t>Pending</t>
        </is>
      </c>
      <c r="P10" s="20" t="n">
        <v>55127.31</v>
      </c>
      <c r="Q10" s="30" t="n">
        <v>0.1</v>
      </c>
      <c r="R10" s="21">
        <f>IF($A10="","",ROUND(P10*Q10,2))</f>
        <v/>
      </c>
      <c r="S10" s="5" t="n"/>
      <c r="T10" s="4" t="inlineStr">
        <is>
          <t>Pagado</t>
        </is>
      </c>
      <c r="U10" s="5" t="n">
        <v>46094</v>
      </c>
      <c r="V10" s="21">
        <f>IF($A10="","",ROUND(P10-R10,2))</f>
        <v/>
      </c>
      <c r="W10" s="5" t="n"/>
      <c r="X10" s="4" t="inlineStr">
        <is>
          <t>Pendiente</t>
        </is>
      </c>
      <c r="Y10" s="5" t="n"/>
      <c r="Z10" s="21">
        <f>IF($A10="","",IF(T10="Pagado",N(R10),0)+IF(X10="Pagado",N(V10),0))</f>
        <v/>
      </c>
      <c r="AA10" s="21">
        <f>IF($A10="","",ROUND(N(P10)-N(Z10),2))</f>
        <v/>
      </c>
      <c r="AB10" s="21">
        <f>IF($A10="","",SUMIF('OTROS COMPONENTES'!$A$4:$A$200,$A10,'OTROS COMPONENTES'!$D$4:$D$200))</f>
        <v/>
      </c>
      <c r="AC10" s="21">
        <f>IF($A10="","",SUMIF('OTROS COMPONENTES'!$A$4:$A$200,$A10,'OTROS COMPONENTES'!$E$4:$E$200))</f>
        <v/>
      </c>
      <c r="AD10" s="21">
        <f>IF($A10="","",ROUND(N(AB10)-N(AC10),2))</f>
        <v/>
      </c>
      <c r="AE10" s="21">
        <f>IF($A10="","",ROUND(N(P10)+N(AB10),2))</f>
        <v/>
      </c>
      <c r="AF10" s="21">
        <f>IF($A10="","",ROUND(N(Z10)+N(AC10),2))</f>
        <v/>
      </c>
      <c r="AG10" s="21">
        <f>IF($A10="","",ROUND(N(AA10)+N(AD10),2))</f>
        <v/>
      </c>
      <c r="AH10" s="9">
        <f>IF($A10="","",IF(OR($H10="Por confirmar",$H10="Cerrado"),"No","Sí"))</f>
        <v/>
      </c>
      <c r="AI10" s="21">
        <f>IF($A10="","",IF(AH10="No",0,IF(RESUMEN!$B$4="Saldo por pagar al fabricante",AA10,IF(RESUMEN!$B$4="Monto completo del pedido",P10,IF(OR($H10="Embarcando",$H10="Embarcado"),N(AA10),N(P10))))))</f>
        <v/>
      </c>
      <c r="AJ10" s="10">
        <f>IF($A10="","",IF(COUNTIF($A$4:$A$200,$A10)&gt;1,"ID_Pedido repetido",IF(N($P10)&lt;=0,"Falta el costo del fabricante",IF($F10="","Falta el proyecto",IF($G10="","Falta el cliente",IF(AND($H10&lt;&gt;"Por confirmar",N($R10)&gt;0,$T10=""),"Falta el estado del anticipo",IF(AND($H10&lt;&gt;"Por confirmar",N($V10)&gt;0,$X10=""),"Falta el estado del balance",IF($E10&gt;1,""&amp;$E10&amp;" equipos en una fila: pártela en una por proyecto",IF(AND($X10="Pendiente",N($V10)&gt;0,$W10=""),"Falta la fecha en que vence el balance",IF(AND($H10&lt;&gt;"Por confirmar",$H10&lt;&gt;"Cerrado",$AI10=0),"Consume 0 de cupo pero no está Por confirmar",""))))))))))</f>
        <v/>
      </c>
      <c r="AK10" s="4" t="inlineStr"/>
    </row>
    <row r="11">
      <c r="A11" s="4" t="inlineStr">
        <is>
          <t>7-9</t>
        </is>
      </c>
      <c r="B11" s="4" t="inlineStr">
        <is>
          <t>7</t>
        </is>
      </c>
      <c r="C11" s="4" t="inlineStr">
        <is>
          <t>Singsun</t>
        </is>
      </c>
      <c r="D11" s="4" t="inlineStr">
        <is>
          <t>Tracker</t>
        </is>
      </c>
      <c r="E11" s="4" t="n">
        <v>1</v>
      </c>
      <c r="F11" s="4" t="inlineStr">
        <is>
          <t>(El Paseo)</t>
        </is>
      </c>
      <c r="G11" s="4" t="inlineStr">
        <is>
          <t>Solenium</t>
        </is>
      </c>
      <c r="H11" s="4" t="inlineStr">
        <is>
          <t>Embarque reservado</t>
        </is>
      </c>
      <c r="I11" s="5" t="n"/>
      <c r="J11" s="5" t="n">
        <v>46113</v>
      </c>
      <c r="K11" s="5" t="n"/>
      <c r="L11" s="5" t="n"/>
      <c r="M11" s="5" t="n"/>
      <c r="N11" s="4" t="inlineStr"/>
      <c r="O11" s="4" t="inlineStr">
        <is>
          <t>Pending</t>
        </is>
      </c>
      <c r="P11" s="20" t="n">
        <v>55127.31</v>
      </c>
      <c r="Q11" s="30" t="n">
        <v>0.1</v>
      </c>
      <c r="R11" s="21">
        <f>IF($A11="","",ROUND(P11*Q11,2))</f>
        <v/>
      </c>
      <c r="S11" s="5" t="n"/>
      <c r="T11" s="4" t="inlineStr">
        <is>
          <t>Pagado</t>
        </is>
      </c>
      <c r="U11" s="5" t="n">
        <v>46094</v>
      </c>
      <c r="V11" s="21">
        <f>IF($A11="","",ROUND(P11-R11,2))</f>
        <v/>
      </c>
      <c r="W11" s="5" t="n"/>
      <c r="X11" s="4" t="inlineStr">
        <is>
          <t>Pendiente</t>
        </is>
      </c>
      <c r="Y11" s="5" t="n"/>
      <c r="Z11" s="21">
        <f>IF($A11="","",IF(T11="Pagado",N(R11),0)+IF(X11="Pagado",N(V11),0))</f>
        <v/>
      </c>
      <c r="AA11" s="21">
        <f>IF($A11="","",ROUND(N(P11)-N(Z11),2))</f>
        <v/>
      </c>
      <c r="AB11" s="21">
        <f>IF($A11="","",SUMIF('OTROS COMPONENTES'!$A$4:$A$200,$A11,'OTROS COMPONENTES'!$D$4:$D$200))</f>
        <v/>
      </c>
      <c r="AC11" s="21">
        <f>IF($A11="","",SUMIF('OTROS COMPONENTES'!$A$4:$A$200,$A11,'OTROS COMPONENTES'!$E$4:$E$200))</f>
        <v/>
      </c>
      <c r="AD11" s="21">
        <f>IF($A11="","",ROUND(N(AB11)-N(AC11),2))</f>
        <v/>
      </c>
      <c r="AE11" s="21">
        <f>IF($A11="","",ROUND(N(P11)+N(AB11),2))</f>
        <v/>
      </c>
      <c r="AF11" s="21">
        <f>IF($A11="","",ROUND(N(Z11)+N(AC11),2))</f>
        <v/>
      </c>
      <c r="AG11" s="21">
        <f>IF($A11="","",ROUND(N(AA11)+N(AD11),2))</f>
        <v/>
      </c>
      <c r="AH11" s="9">
        <f>IF($A11="","",IF(OR($H11="Por confirmar",$H11="Cerrado"),"No","Sí"))</f>
        <v/>
      </c>
      <c r="AI11" s="21">
        <f>IF($A11="","",IF(AH11="No",0,IF(RESUMEN!$B$4="Saldo por pagar al fabricante",AA11,IF(RESUMEN!$B$4="Monto completo del pedido",P11,IF(OR($H11="Embarcando",$H11="Embarcado"),N(AA11),N(P11))))))</f>
        <v/>
      </c>
      <c r="AJ11" s="10">
        <f>IF($A11="","",IF(COUNTIF($A$4:$A$200,$A11)&gt;1,"ID_Pedido repetido",IF(N($P11)&lt;=0,"Falta el costo del fabricante",IF($F11="","Falta el proyecto",IF($G11="","Falta el cliente",IF(AND($H11&lt;&gt;"Por confirmar",N($R11)&gt;0,$T11=""),"Falta el estado del anticipo",IF(AND($H11&lt;&gt;"Por confirmar",N($V11)&gt;0,$X11=""),"Falta el estado del balance",IF($E11&gt;1,""&amp;$E11&amp;" equipos en una fila: pártela en una por proyecto",IF(AND($X11="Pendiente",N($V11)&gt;0,$W11=""),"Falta la fecha en que vence el balance",IF(AND($H11&lt;&gt;"Por confirmar",$H11&lt;&gt;"Cerrado",$AI11=0),"Consume 0 de cupo pero no está Por confirmar",""))))))))))</f>
        <v/>
      </c>
      <c r="AK11" s="4" t="inlineStr"/>
    </row>
    <row r="12">
      <c r="A12" s="4" t="inlineStr">
        <is>
          <t>9-1</t>
        </is>
      </c>
      <c r="B12" s="4" t="inlineStr">
        <is>
          <t>9</t>
        </is>
      </c>
      <c r="C12" s="4" t="inlineStr">
        <is>
          <t>Singsun</t>
        </is>
      </c>
      <c r="D12" s="4" t="inlineStr">
        <is>
          <t>Tracker</t>
        </is>
      </c>
      <c r="E12" s="4" t="n">
        <v>1</v>
      </c>
      <c r="F12" s="4" t="inlineStr">
        <is>
          <t>Giron Sur 2</t>
        </is>
      </c>
      <c r="G12" s="4" t="inlineStr">
        <is>
          <t>Solenium</t>
        </is>
      </c>
      <c r="H12" s="4" t="inlineStr">
        <is>
          <t>En producción</t>
        </is>
      </c>
      <c r="I12" s="5" t="n"/>
      <c r="J12" s="5" t="n">
        <v>46300</v>
      </c>
      <c r="K12" s="5" t="n"/>
      <c r="L12" s="5" t="n"/>
      <c r="M12" s="5" t="n"/>
      <c r="N12" s="4" t="inlineStr"/>
      <c r="O12" s="4" t="inlineStr">
        <is>
          <t>Pending</t>
        </is>
      </c>
      <c r="P12" s="20" t="n">
        <v>56933.17</v>
      </c>
      <c r="Q12" s="30" t="n">
        <v>0.09429999999999999</v>
      </c>
      <c r="R12" s="21">
        <f>IF($A12="","",ROUND(P12*Q12,2))</f>
        <v/>
      </c>
      <c r="S12" s="5" t="n"/>
      <c r="T12" s="4" t="inlineStr">
        <is>
          <t>Pagado</t>
        </is>
      </c>
      <c r="U12" s="5" t="n">
        <v>46176</v>
      </c>
      <c r="V12" s="21">
        <f>IF($A12="","",ROUND(P12-R12,2))</f>
        <v/>
      </c>
      <c r="W12" s="5" t="n"/>
      <c r="X12" s="4" t="inlineStr">
        <is>
          <t>Pendiente</t>
        </is>
      </c>
      <c r="Y12" s="5" t="n"/>
      <c r="Z12" s="21">
        <f>IF($A12="","",IF(T12="Pagado",N(R12),0)+IF(X12="Pagado",N(V12),0))</f>
        <v/>
      </c>
      <c r="AA12" s="21">
        <f>IF($A12="","",ROUND(N(P12)-N(Z12),2))</f>
        <v/>
      </c>
      <c r="AB12" s="21">
        <f>IF($A12="","",SUMIF('OTROS COMPONENTES'!$A$4:$A$200,$A12,'OTROS COMPONENTES'!$D$4:$D$200))</f>
        <v/>
      </c>
      <c r="AC12" s="21">
        <f>IF($A12="","",SUMIF('OTROS COMPONENTES'!$A$4:$A$200,$A12,'OTROS COMPONENTES'!$E$4:$E$200))</f>
        <v/>
      </c>
      <c r="AD12" s="21">
        <f>IF($A12="","",ROUND(N(AB12)-N(AC12),2))</f>
        <v/>
      </c>
      <c r="AE12" s="21">
        <f>IF($A12="","",ROUND(N(P12)+N(AB12),2))</f>
        <v/>
      </c>
      <c r="AF12" s="21">
        <f>IF($A12="","",ROUND(N(Z12)+N(AC12),2))</f>
        <v/>
      </c>
      <c r="AG12" s="21">
        <f>IF($A12="","",ROUND(N(AA12)+N(AD12),2))</f>
        <v/>
      </c>
      <c r="AH12" s="9">
        <f>IF($A12="","",IF(OR($H12="Por confirmar",$H12="Cerrado"),"No","Sí"))</f>
        <v/>
      </c>
      <c r="AI12" s="21">
        <f>IF($A12="","",IF(AH12="No",0,IF(RESUMEN!$B$4="Saldo por pagar al fabricante",AA12,IF(RESUMEN!$B$4="Monto completo del pedido",P12,IF(OR($H12="Embarcando",$H12="Embarcado"),N(AA12),N(P12))))))</f>
        <v/>
      </c>
      <c r="AJ12" s="10">
        <f>IF($A12="","",IF(COUNTIF($A$4:$A$200,$A12)&gt;1,"ID_Pedido repetido",IF(N($P12)&lt;=0,"Falta el costo del fabricante",IF($F12="","Falta el proyecto",IF($G12="","Falta el cliente",IF(AND($H12&lt;&gt;"Por confirmar",N($R12)&gt;0,$T12=""),"Falta el estado del anticipo",IF(AND($H12&lt;&gt;"Por confirmar",N($V12)&gt;0,$X12=""),"Falta el estado del balance",IF($E12&gt;1,""&amp;$E12&amp;" equipos en una fila: pártela en una por proyecto",IF(AND($X12="Pendiente",N($V12)&gt;0,$W12=""),"Falta la fecha en que vence el balance",IF(AND($H12&lt;&gt;"Por confirmar",$H12&lt;&gt;"Cerrado",$AI12=0),"Consume 0 de cupo pero no está Por confirmar",""))))))))))</f>
        <v/>
      </c>
      <c r="AK12" s="4" t="inlineStr">
        <is>
          <t>Estado de pago deducido: venía en blanco en el detailed</t>
        </is>
      </c>
    </row>
    <row r="13">
      <c r="A13" s="4" t="inlineStr">
        <is>
          <t>9-2</t>
        </is>
      </c>
      <c r="B13" s="4" t="inlineStr">
        <is>
          <t>9</t>
        </is>
      </c>
      <c r="C13" s="4" t="inlineStr">
        <is>
          <t>Singsun</t>
        </is>
      </c>
      <c r="D13" s="4" t="inlineStr">
        <is>
          <t>Tracker</t>
        </is>
      </c>
      <c r="E13" s="4" t="n">
        <v>1</v>
      </c>
      <c r="F13" s="4" t="inlineStr">
        <is>
          <t>Confines de Occidente 2</t>
        </is>
      </c>
      <c r="G13" s="4" t="inlineStr">
        <is>
          <t>Solenium</t>
        </is>
      </c>
      <c r="H13" s="4" t="inlineStr">
        <is>
          <t>Embarcando</t>
        </is>
      </c>
      <c r="I13" s="5" t="n"/>
      <c r="J13" s="5" t="n">
        <v>46293</v>
      </c>
      <c r="K13" s="5" t="n"/>
      <c r="L13" s="5" t="n"/>
      <c r="M13" s="5" t="n"/>
      <c r="N13" s="4" t="inlineStr"/>
      <c r="O13" s="4" t="inlineStr">
        <is>
          <t>Pending</t>
        </is>
      </c>
      <c r="P13" s="20" t="n">
        <v>71719.75</v>
      </c>
      <c r="Q13" s="30" t="n">
        <v>0.1</v>
      </c>
      <c r="R13" s="21">
        <f>IF($A13="","",ROUND(P13*Q13,2))</f>
        <v/>
      </c>
      <c r="S13" s="5" t="n"/>
      <c r="T13" s="4" t="inlineStr">
        <is>
          <t>Pagado</t>
        </is>
      </c>
      <c r="U13" s="5" t="n">
        <v>46176</v>
      </c>
      <c r="V13" s="21">
        <f>IF($A13="","",ROUND(P13-R13,2))</f>
        <v/>
      </c>
      <c r="W13" s="5" t="n"/>
      <c r="X13" s="4" t="inlineStr">
        <is>
          <t>Pendiente</t>
        </is>
      </c>
      <c r="Y13" s="5" t="n"/>
      <c r="Z13" s="21">
        <f>IF($A13="","",IF(T13="Pagado",N(R13),0)+IF(X13="Pagado",N(V13),0))</f>
        <v/>
      </c>
      <c r="AA13" s="21">
        <f>IF($A13="","",ROUND(N(P13)-N(Z13),2))</f>
        <v/>
      </c>
      <c r="AB13" s="21">
        <f>IF($A13="","",SUMIF('OTROS COMPONENTES'!$A$4:$A$200,$A13,'OTROS COMPONENTES'!$D$4:$D$200))</f>
        <v/>
      </c>
      <c r="AC13" s="21">
        <f>IF($A13="","",SUMIF('OTROS COMPONENTES'!$A$4:$A$200,$A13,'OTROS COMPONENTES'!$E$4:$E$200))</f>
        <v/>
      </c>
      <c r="AD13" s="21">
        <f>IF($A13="","",ROUND(N(AB13)-N(AC13),2))</f>
        <v/>
      </c>
      <c r="AE13" s="21">
        <f>IF($A13="","",ROUND(N(P13)+N(AB13),2))</f>
        <v/>
      </c>
      <c r="AF13" s="21">
        <f>IF($A13="","",ROUND(N(Z13)+N(AC13),2))</f>
        <v/>
      </c>
      <c r="AG13" s="21">
        <f>IF($A13="","",ROUND(N(AA13)+N(AD13),2))</f>
        <v/>
      </c>
      <c r="AH13" s="9">
        <f>IF($A13="","",IF(OR($H13="Por confirmar",$H13="Cerrado"),"No","Sí"))</f>
        <v/>
      </c>
      <c r="AI13" s="21">
        <f>IF($A13="","",IF(AH13="No",0,IF(RESUMEN!$B$4="Saldo por pagar al fabricante",AA13,IF(RESUMEN!$B$4="Monto completo del pedido",P13,IF(OR($H13="Embarcando",$H13="Embarcado"),N(AA13),N(P13))))))</f>
        <v/>
      </c>
      <c r="AJ13" s="10">
        <f>IF($A13="","",IF(COUNTIF($A$4:$A$200,$A13)&gt;1,"ID_Pedido repetido",IF(N($P13)&lt;=0,"Falta el costo del fabricante",IF($F13="","Falta el proyecto",IF($G13="","Falta el cliente",IF(AND($H13&lt;&gt;"Por confirmar",N($R13)&gt;0,$T13=""),"Falta el estado del anticipo",IF(AND($H13&lt;&gt;"Por confirmar",N($V13)&gt;0,$X13=""),"Falta el estado del balance",IF($E13&gt;1,""&amp;$E13&amp;" equipos en una fila: pártela en una por proyecto",IF(AND($X13="Pendiente",N($V13)&gt;0,$W13=""),"Falta la fecha en que vence el balance",IF(AND($H13&lt;&gt;"Por confirmar",$H13&lt;&gt;"Cerrado",$AI13=0),"Consume 0 de cupo pero no está Por confirmar",""))))))))))</f>
        <v/>
      </c>
      <c r="AK13" s="4" t="inlineStr">
        <is>
          <t>Estado de pago deducido: venía en blanco en el detailed</t>
        </is>
      </c>
    </row>
    <row r="14">
      <c r="A14" s="4" t="inlineStr">
        <is>
          <t>9-3</t>
        </is>
      </c>
      <c r="B14" s="4" t="inlineStr">
        <is>
          <t>9</t>
        </is>
      </c>
      <c r="C14" s="4" t="inlineStr">
        <is>
          <t>Singsun</t>
        </is>
      </c>
      <c r="D14" s="4" t="inlineStr">
        <is>
          <t>Tracker</t>
        </is>
      </c>
      <c r="E14" s="4" t="n">
        <v>1</v>
      </c>
      <c r="F14" s="4" t="inlineStr">
        <is>
          <t>Agustin Codazzi 4 -&gt; Galapa 2</t>
        </is>
      </c>
      <c r="G14" s="4" t="inlineStr">
        <is>
          <t>Solenium</t>
        </is>
      </c>
      <c r="H14" s="4" t="inlineStr">
        <is>
          <t>En producción</t>
        </is>
      </c>
      <c r="I14" s="5" t="n"/>
      <c r="J14" s="5" t="n">
        <v>46310</v>
      </c>
      <c r="K14" s="5" t="n"/>
      <c r="L14" s="5" t="n"/>
      <c r="M14" s="5" t="n"/>
      <c r="N14" s="4" t="inlineStr"/>
      <c r="O14" s="4" t="inlineStr">
        <is>
          <t>Pending</t>
        </is>
      </c>
      <c r="P14" s="20" t="n">
        <v>66985.63</v>
      </c>
      <c r="Q14" s="30" t="n">
        <v>0.1</v>
      </c>
      <c r="R14" s="21">
        <f>IF($A14="","",ROUND(P14*Q14,2))</f>
        <v/>
      </c>
      <c r="S14" s="5" t="n"/>
      <c r="T14" s="4" t="inlineStr">
        <is>
          <t>Pagado</t>
        </is>
      </c>
      <c r="U14" s="5" t="n">
        <v>46176</v>
      </c>
      <c r="V14" s="21">
        <f>IF($A14="","",ROUND(P14-R14,2))</f>
        <v/>
      </c>
      <c r="W14" s="5" t="n"/>
      <c r="X14" s="4" t="inlineStr">
        <is>
          <t>Pendiente</t>
        </is>
      </c>
      <c r="Y14" s="5" t="n"/>
      <c r="Z14" s="21">
        <f>IF($A14="","",IF(T14="Pagado",N(R14),0)+IF(X14="Pagado",N(V14),0))</f>
        <v/>
      </c>
      <c r="AA14" s="21">
        <f>IF($A14="","",ROUND(N(P14)-N(Z14),2))</f>
        <v/>
      </c>
      <c r="AB14" s="21">
        <f>IF($A14="","",SUMIF('OTROS COMPONENTES'!$A$4:$A$200,$A14,'OTROS COMPONENTES'!$D$4:$D$200))</f>
        <v/>
      </c>
      <c r="AC14" s="21">
        <f>IF($A14="","",SUMIF('OTROS COMPONENTES'!$A$4:$A$200,$A14,'OTROS COMPONENTES'!$E$4:$E$200))</f>
        <v/>
      </c>
      <c r="AD14" s="21">
        <f>IF($A14="","",ROUND(N(AB14)-N(AC14),2))</f>
        <v/>
      </c>
      <c r="AE14" s="21">
        <f>IF($A14="","",ROUND(N(P14)+N(AB14),2))</f>
        <v/>
      </c>
      <c r="AF14" s="21">
        <f>IF($A14="","",ROUND(N(Z14)+N(AC14),2))</f>
        <v/>
      </c>
      <c r="AG14" s="21">
        <f>IF($A14="","",ROUND(N(AA14)+N(AD14),2))</f>
        <v/>
      </c>
      <c r="AH14" s="9">
        <f>IF($A14="","",IF(OR($H14="Por confirmar",$H14="Cerrado"),"No","Sí"))</f>
        <v/>
      </c>
      <c r="AI14" s="21">
        <f>IF($A14="","",IF(AH14="No",0,IF(RESUMEN!$B$4="Saldo por pagar al fabricante",AA14,IF(RESUMEN!$B$4="Monto completo del pedido",P14,IF(OR($H14="Embarcando",$H14="Embarcado"),N(AA14),N(P14))))))</f>
        <v/>
      </c>
      <c r="AJ14" s="10">
        <f>IF($A14="","",IF(COUNTIF($A$4:$A$200,$A14)&gt;1,"ID_Pedido repetido",IF(N($P14)&lt;=0,"Falta el costo del fabricante",IF($F14="","Falta el proyecto",IF($G14="","Falta el cliente",IF(AND($H14&lt;&gt;"Por confirmar",N($R14)&gt;0,$T14=""),"Falta el estado del anticipo",IF(AND($H14&lt;&gt;"Por confirmar",N($V14)&gt;0,$X14=""),"Falta el estado del balance",IF($E14&gt;1,""&amp;$E14&amp;" equipos en una fila: pártela en una por proyecto",IF(AND($X14="Pendiente",N($V14)&gt;0,$W14=""),"Falta la fecha en que vence el balance",IF(AND($H14&lt;&gt;"Por confirmar",$H14&lt;&gt;"Cerrado",$AI14=0),"Consume 0 de cupo pero no está Por confirmar",""))))))))))</f>
        <v/>
      </c>
      <c r="AK14" s="4" t="inlineStr"/>
    </row>
    <row r="15">
      <c r="A15" s="4" t="inlineStr">
        <is>
          <t>9-5</t>
        </is>
      </c>
      <c r="B15" s="4" t="inlineStr">
        <is>
          <t>9</t>
        </is>
      </c>
      <c r="C15" s="4" t="inlineStr">
        <is>
          <t>Singsun</t>
        </is>
      </c>
      <c r="D15" s="4" t="inlineStr">
        <is>
          <t>Tracker</t>
        </is>
      </c>
      <c r="E15" s="4" t="n">
        <v>1</v>
      </c>
      <c r="F15" s="4" t="inlineStr">
        <is>
          <t>Tunja</t>
        </is>
      </c>
      <c r="G15" s="4" t="inlineStr">
        <is>
          <t>Solenium</t>
        </is>
      </c>
      <c r="H15" s="4" t="inlineStr">
        <is>
          <t>En producción</t>
        </is>
      </c>
      <c r="I15" s="5" t="n"/>
      <c r="J15" s="5" t="n">
        <v>46311</v>
      </c>
      <c r="K15" s="5" t="n"/>
      <c r="L15" s="5" t="n"/>
      <c r="M15" s="5" t="n"/>
      <c r="N15" s="4" t="inlineStr"/>
      <c r="O15" s="4" t="inlineStr">
        <is>
          <t>Pending</t>
        </is>
      </c>
      <c r="P15" s="20" t="n">
        <v>59726.2</v>
      </c>
      <c r="Q15" s="30" t="n">
        <v>0.09520000000000001</v>
      </c>
      <c r="R15" s="21">
        <f>IF($A15="","",ROUND(P15*Q15,2))</f>
        <v/>
      </c>
      <c r="S15" s="5" t="n"/>
      <c r="T15" s="4" t="inlineStr">
        <is>
          <t>Pagado</t>
        </is>
      </c>
      <c r="U15" s="5" t="n">
        <v>46176</v>
      </c>
      <c r="V15" s="21">
        <f>IF($A15="","",ROUND(P15-R15,2))</f>
        <v/>
      </c>
      <c r="W15" s="5" t="n"/>
      <c r="X15" s="4" t="inlineStr">
        <is>
          <t>Pendiente</t>
        </is>
      </c>
      <c r="Y15" s="5" t="n"/>
      <c r="Z15" s="21">
        <f>IF($A15="","",IF(T15="Pagado",N(R15),0)+IF(X15="Pagado",N(V15),0))</f>
        <v/>
      </c>
      <c r="AA15" s="21">
        <f>IF($A15="","",ROUND(N(P15)-N(Z15),2))</f>
        <v/>
      </c>
      <c r="AB15" s="21">
        <f>IF($A15="","",SUMIF('OTROS COMPONENTES'!$A$4:$A$200,$A15,'OTROS COMPONENTES'!$D$4:$D$200))</f>
        <v/>
      </c>
      <c r="AC15" s="21">
        <f>IF($A15="","",SUMIF('OTROS COMPONENTES'!$A$4:$A$200,$A15,'OTROS COMPONENTES'!$E$4:$E$200))</f>
        <v/>
      </c>
      <c r="AD15" s="21">
        <f>IF($A15="","",ROUND(N(AB15)-N(AC15),2))</f>
        <v/>
      </c>
      <c r="AE15" s="21">
        <f>IF($A15="","",ROUND(N(P15)+N(AB15),2))</f>
        <v/>
      </c>
      <c r="AF15" s="21">
        <f>IF($A15="","",ROUND(N(Z15)+N(AC15),2))</f>
        <v/>
      </c>
      <c r="AG15" s="21">
        <f>IF($A15="","",ROUND(N(AA15)+N(AD15),2))</f>
        <v/>
      </c>
      <c r="AH15" s="9">
        <f>IF($A15="","",IF(OR($H15="Por confirmar",$H15="Cerrado"),"No","Sí"))</f>
        <v/>
      </c>
      <c r="AI15" s="21">
        <f>IF($A15="","",IF(AH15="No",0,IF(RESUMEN!$B$4="Saldo por pagar al fabricante",AA15,IF(RESUMEN!$B$4="Monto completo del pedido",P15,IF(OR($H15="Embarcando",$H15="Embarcado"),N(AA15),N(P15))))))</f>
        <v/>
      </c>
      <c r="AJ15" s="10">
        <f>IF($A15="","",IF(COUNTIF($A$4:$A$200,$A15)&gt;1,"ID_Pedido repetido",IF(N($P15)&lt;=0,"Falta el costo del fabricante",IF($F15="","Falta el proyecto",IF($G15="","Falta el cliente",IF(AND($H15&lt;&gt;"Por confirmar",N($R15)&gt;0,$T15=""),"Falta el estado del anticipo",IF(AND($H15&lt;&gt;"Por confirmar",N($V15)&gt;0,$X15=""),"Falta el estado del balance",IF($E15&gt;1,""&amp;$E15&amp;" equipos en una fila: pártela en una por proyecto",IF(AND($X15="Pendiente",N($V15)&gt;0,$W15=""),"Falta la fecha en que vence el balance",IF(AND($H15&lt;&gt;"Por confirmar",$H15&lt;&gt;"Cerrado",$AI15=0),"Consume 0 de cupo pero no está Por confirmar",""))))))))))</f>
        <v/>
      </c>
      <c r="AK15" s="4" t="inlineStr"/>
    </row>
    <row r="16">
      <c r="A16" s="4" t="inlineStr">
        <is>
          <t>9-6</t>
        </is>
      </c>
      <c r="B16" s="4" t="inlineStr">
        <is>
          <t>9</t>
        </is>
      </c>
      <c r="C16" s="4" t="inlineStr">
        <is>
          <t>Singsun</t>
        </is>
      </c>
      <c r="D16" s="4" t="inlineStr">
        <is>
          <t>Tracker</t>
        </is>
      </c>
      <c r="E16" s="4" t="n">
        <v>1</v>
      </c>
      <c r="F16" s="4" t="inlineStr">
        <is>
          <t>Curumani 3</t>
        </is>
      </c>
      <c r="G16" s="4" t="inlineStr">
        <is>
          <t>Solenium</t>
        </is>
      </c>
      <c r="H16" s="4" t="inlineStr">
        <is>
          <t>En producción</t>
        </is>
      </c>
      <c r="I16" s="5" t="n"/>
      <c r="J16" s="5" t="n">
        <v>46307</v>
      </c>
      <c r="K16" s="5" t="n"/>
      <c r="L16" s="5" t="n"/>
      <c r="M16" s="5" t="n"/>
      <c r="N16" s="4" t="inlineStr"/>
      <c r="O16" s="4" t="inlineStr">
        <is>
          <t>Pending</t>
        </is>
      </c>
      <c r="P16" s="20" t="n">
        <v>57149.96</v>
      </c>
      <c r="Q16" s="30" t="n">
        <v>0.1</v>
      </c>
      <c r="R16" s="21">
        <f>IF($A16="","",ROUND(P16*Q16,2))</f>
        <v/>
      </c>
      <c r="S16" s="5" t="n"/>
      <c r="T16" s="4" t="inlineStr">
        <is>
          <t>Pagado</t>
        </is>
      </c>
      <c r="U16" s="5" t="n">
        <v>46176</v>
      </c>
      <c r="V16" s="21">
        <f>IF($A16="","",ROUND(P16-R16,2))</f>
        <v/>
      </c>
      <c r="W16" s="5" t="n"/>
      <c r="X16" s="4" t="inlineStr">
        <is>
          <t>Pendiente</t>
        </is>
      </c>
      <c r="Y16" s="5" t="n"/>
      <c r="Z16" s="21">
        <f>IF($A16="","",IF(T16="Pagado",N(R16),0)+IF(X16="Pagado",N(V16),0))</f>
        <v/>
      </c>
      <c r="AA16" s="21">
        <f>IF($A16="","",ROUND(N(P16)-N(Z16),2))</f>
        <v/>
      </c>
      <c r="AB16" s="21">
        <f>IF($A16="","",SUMIF('OTROS COMPONENTES'!$A$4:$A$200,$A16,'OTROS COMPONENTES'!$D$4:$D$200))</f>
        <v/>
      </c>
      <c r="AC16" s="21">
        <f>IF($A16="","",SUMIF('OTROS COMPONENTES'!$A$4:$A$200,$A16,'OTROS COMPONENTES'!$E$4:$E$200))</f>
        <v/>
      </c>
      <c r="AD16" s="21">
        <f>IF($A16="","",ROUND(N(AB16)-N(AC16),2))</f>
        <v/>
      </c>
      <c r="AE16" s="21">
        <f>IF($A16="","",ROUND(N(P16)+N(AB16),2))</f>
        <v/>
      </c>
      <c r="AF16" s="21">
        <f>IF($A16="","",ROUND(N(Z16)+N(AC16),2))</f>
        <v/>
      </c>
      <c r="AG16" s="21">
        <f>IF($A16="","",ROUND(N(AA16)+N(AD16),2))</f>
        <v/>
      </c>
      <c r="AH16" s="9">
        <f>IF($A16="","",IF(OR($H16="Por confirmar",$H16="Cerrado"),"No","Sí"))</f>
        <v/>
      </c>
      <c r="AI16" s="21">
        <f>IF($A16="","",IF(AH16="No",0,IF(RESUMEN!$B$4="Saldo por pagar al fabricante",AA16,IF(RESUMEN!$B$4="Monto completo del pedido",P16,IF(OR($H16="Embarcando",$H16="Embarcado"),N(AA16),N(P16))))))</f>
        <v/>
      </c>
      <c r="AJ16" s="10">
        <f>IF($A16="","",IF(COUNTIF($A$4:$A$200,$A16)&gt;1,"ID_Pedido repetido",IF(N($P16)&lt;=0,"Falta el costo del fabricante",IF($F16="","Falta el proyecto",IF($G16="","Falta el cliente",IF(AND($H16&lt;&gt;"Por confirmar",N($R16)&gt;0,$T16=""),"Falta el estado del anticipo",IF(AND($H16&lt;&gt;"Por confirmar",N($V16)&gt;0,$X16=""),"Falta el estado del balance",IF($E16&gt;1,""&amp;$E16&amp;" equipos en una fila: pártela en una por proyecto",IF(AND($X16="Pendiente",N($V16)&gt;0,$W16=""),"Falta la fecha en que vence el balance",IF(AND($H16&lt;&gt;"Por confirmar",$H16&lt;&gt;"Cerrado",$AI16=0),"Consume 0 de cupo pero no está Por confirmar",""))))))))))</f>
        <v/>
      </c>
      <c r="AK16" s="4" t="inlineStr"/>
    </row>
    <row r="17">
      <c r="A17" s="4" t="inlineStr">
        <is>
          <t>9-7</t>
        </is>
      </c>
      <c r="B17" s="4" t="inlineStr">
        <is>
          <t>9</t>
        </is>
      </c>
      <c r="C17" s="4" t="inlineStr">
        <is>
          <t>Singsun</t>
        </is>
      </c>
      <c r="D17" s="4" t="inlineStr">
        <is>
          <t>Tracker</t>
        </is>
      </c>
      <c r="E17" s="4" t="n">
        <v>1</v>
      </c>
      <c r="F17" s="4" t="inlineStr"/>
      <c r="G17" s="4" t="inlineStr">
        <is>
          <t>Solenium</t>
        </is>
      </c>
      <c r="H17" s="4" t="inlineStr">
        <is>
          <t>En producción</t>
        </is>
      </c>
      <c r="I17" s="5" t="n"/>
      <c r="J17" s="5" t="n">
        <v>46237</v>
      </c>
      <c r="K17" s="5" t="n">
        <v>46270</v>
      </c>
      <c r="L17" s="5" t="n"/>
      <c r="M17" s="5" t="n">
        <v>46292</v>
      </c>
      <c r="N17" s="4" t="inlineStr"/>
      <c r="O17" s="4" t="inlineStr">
        <is>
          <t>Pending</t>
        </is>
      </c>
      <c r="P17" s="20" t="n">
        <v>20988.45</v>
      </c>
      <c r="Q17" s="30" t="n">
        <v>0.1</v>
      </c>
      <c r="R17" s="21">
        <f>IF($A17="","",ROUND(P17*Q17,2))</f>
        <v/>
      </c>
      <c r="S17" s="5" t="n"/>
      <c r="T17" s="4" t="inlineStr">
        <is>
          <t>Pagado</t>
        </is>
      </c>
      <c r="U17" s="5" t="n">
        <v>46176</v>
      </c>
      <c r="V17" s="21">
        <f>IF($A17="","",ROUND(P17-R17,2))</f>
        <v/>
      </c>
      <c r="W17" s="5" t="n"/>
      <c r="X17" s="4" t="inlineStr">
        <is>
          <t>Pendiente</t>
        </is>
      </c>
      <c r="Y17" s="5" t="n"/>
      <c r="Z17" s="21">
        <f>IF($A17="","",IF(T17="Pagado",N(R17),0)+IF(X17="Pagado",N(V17),0))</f>
        <v/>
      </c>
      <c r="AA17" s="21">
        <f>IF($A17="","",ROUND(N(P17)-N(Z17),2))</f>
        <v/>
      </c>
      <c r="AB17" s="21">
        <f>IF($A17="","",SUMIF('OTROS COMPONENTES'!$A$4:$A$200,$A17,'OTROS COMPONENTES'!$D$4:$D$200))</f>
        <v/>
      </c>
      <c r="AC17" s="21">
        <f>IF($A17="","",SUMIF('OTROS COMPONENTES'!$A$4:$A$200,$A17,'OTROS COMPONENTES'!$E$4:$E$200))</f>
        <v/>
      </c>
      <c r="AD17" s="21">
        <f>IF($A17="","",ROUND(N(AB17)-N(AC17),2))</f>
        <v/>
      </c>
      <c r="AE17" s="21">
        <f>IF($A17="","",ROUND(N(P17)+N(AB17),2))</f>
        <v/>
      </c>
      <c r="AF17" s="21">
        <f>IF($A17="","",ROUND(N(Z17)+N(AC17),2))</f>
        <v/>
      </c>
      <c r="AG17" s="21">
        <f>IF($A17="","",ROUND(N(AA17)+N(AD17),2))</f>
        <v/>
      </c>
      <c r="AH17" s="9">
        <f>IF($A17="","",IF(OR($H17="Por confirmar",$H17="Cerrado"),"No","Sí"))</f>
        <v/>
      </c>
      <c r="AI17" s="21">
        <f>IF($A17="","",IF(AH17="No",0,IF(RESUMEN!$B$4="Saldo por pagar al fabricante",AA17,IF(RESUMEN!$B$4="Monto completo del pedido",P17,IF(OR($H17="Embarcando",$H17="Embarcado"),N(AA17),N(P17))))))</f>
        <v/>
      </c>
      <c r="AJ17" s="10">
        <f>IF($A17="","",IF(COUNTIF($A$4:$A$200,$A17)&gt;1,"ID_Pedido repetido",IF(N($P17)&lt;=0,"Falta el costo del fabricante",IF($F17="","Falta el proyecto",IF($G17="","Falta el cliente",IF(AND($H17&lt;&gt;"Por confirmar",N($R17)&gt;0,$T17=""),"Falta el estado del anticipo",IF(AND($H17&lt;&gt;"Por confirmar",N($V17)&gt;0,$X17=""),"Falta el estado del balance",IF($E17&gt;1,""&amp;$E17&amp;" equipos en una fila: pártela en una por proyecto",IF(AND($X17="Pendiente",N($V17)&gt;0,$W17=""),"Falta la fecha en que vence el balance",IF(AND($H17&lt;&gt;"Por confirmar",$H17&lt;&gt;"Cerrado",$AI17=0),"Consume 0 de cupo pero no está Por confirmar",""))))))))))</f>
        <v/>
      </c>
      <c r="AK17" s="4" t="inlineStr"/>
    </row>
    <row r="18">
      <c r="A18" s="4" t="inlineStr">
        <is>
          <t>9-8</t>
        </is>
      </c>
      <c r="B18" s="4" t="inlineStr">
        <is>
          <t>9</t>
        </is>
      </c>
      <c r="C18" s="4" t="inlineStr">
        <is>
          <t>Singsun</t>
        </is>
      </c>
      <c r="D18" s="4" t="inlineStr">
        <is>
          <t>Tracker</t>
        </is>
      </c>
      <c r="E18" s="4" t="n">
        <v>1</v>
      </c>
      <c r="F18" s="4" t="inlineStr"/>
      <c r="G18" s="4" t="inlineStr">
        <is>
          <t>Solenium</t>
        </is>
      </c>
      <c r="H18" s="4" t="inlineStr">
        <is>
          <t>En producción</t>
        </is>
      </c>
      <c r="I18" s="5" t="n"/>
      <c r="J18" s="5" t="n">
        <v>46310</v>
      </c>
      <c r="K18" s="5" t="n"/>
      <c r="L18" s="5" t="n"/>
      <c r="M18" s="5" t="n"/>
      <c r="N18" s="4" t="inlineStr"/>
      <c r="O18" s="4" t="inlineStr">
        <is>
          <t>Pending</t>
        </is>
      </c>
      <c r="P18" s="20" t="n">
        <v>13554.6</v>
      </c>
      <c r="Q18" s="30" t="n">
        <v>0.1</v>
      </c>
      <c r="R18" s="21">
        <f>IF($A18="","",ROUND(P18*Q18,2))</f>
        <v/>
      </c>
      <c r="S18" s="5" t="n"/>
      <c r="T18" s="4" t="inlineStr">
        <is>
          <t>Pagado</t>
        </is>
      </c>
      <c r="U18" s="5" t="n">
        <v>46176</v>
      </c>
      <c r="V18" s="21">
        <f>IF($A18="","",ROUND(P18-R18,2))</f>
        <v/>
      </c>
      <c r="W18" s="5" t="n"/>
      <c r="X18" s="4" t="inlineStr">
        <is>
          <t>Pendiente</t>
        </is>
      </c>
      <c r="Y18" s="5" t="n"/>
      <c r="Z18" s="21">
        <f>IF($A18="","",IF(T18="Pagado",N(R18),0)+IF(X18="Pagado",N(V18),0))</f>
        <v/>
      </c>
      <c r="AA18" s="21">
        <f>IF($A18="","",ROUND(N(P18)-N(Z18),2))</f>
        <v/>
      </c>
      <c r="AB18" s="21">
        <f>IF($A18="","",SUMIF('OTROS COMPONENTES'!$A$4:$A$200,$A18,'OTROS COMPONENTES'!$D$4:$D$200))</f>
        <v/>
      </c>
      <c r="AC18" s="21">
        <f>IF($A18="","",SUMIF('OTROS COMPONENTES'!$A$4:$A$200,$A18,'OTROS COMPONENTES'!$E$4:$E$200))</f>
        <v/>
      </c>
      <c r="AD18" s="21">
        <f>IF($A18="","",ROUND(N(AB18)-N(AC18),2))</f>
        <v/>
      </c>
      <c r="AE18" s="21">
        <f>IF($A18="","",ROUND(N(P18)+N(AB18),2))</f>
        <v/>
      </c>
      <c r="AF18" s="21">
        <f>IF($A18="","",ROUND(N(Z18)+N(AC18),2))</f>
        <v/>
      </c>
      <c r="AG18" s="21">
        <f>IF($A18="","",ROUND(N(AA18)+N(AD18),2))</f>
        <v/>
      </c>
      <c r="AH18" s="9">
        <f>IF($A18="","",IF(OR($H18="Por confirmar",$H18="Cerrado"),"No","Sí"))</f>
        <v/>
      </c>
      <c r="AI18" s="21">
        <f>IF($A18="","",IF(AH18="No",0,IF(RESUMEN!$B$4="Saldo por pagar al fabricante",AA18,IF(RESUMEN!$B$4="Monto completo del pedido",P18,IF(OR($H18="Embarcando",$H18="Embarcado"),N(AA18),N(P18))))))</f>
        <v/>
      </c>
      <c r="AJ18" s="10">
        <f>IF($A18="","",IF(COUNTIF($A$4:$A$200,$A18)&gt;1,"ID_Pedido repetido",IF(N($P18)&lt;=0,"Falta el costo del fabricante",IF($F18="","Falta el proyecto",IF($G18="","Falta el cliente",IF(AND($H18&lt;&gt;"Por confirmar",N($R18)&gt;0,$T18=""),"Falta el estado del anticipo",IF(AND($H18&lt;&gt;"Por confirmar",N($V18)&gt;0,$X18=""),"Falta el estado del balance",IF($E18&gt;1,""&amp;$E18&amp;" equipos en una fila: pártela en una por proyecto",IF(AND($X18="Pendiente",N($V18)&gt;0,$W18=""),"Falta la fecha en que vence el balance",IF(AND($H18&lt;&gt;"Por confirmar",$H18&lt;&gt;"Cerrado",$AI18=0),"Consume 0 de cupo pero no está Por confirmar",""))))))))))</f>
        <v/>
      </c>
      <c r="AK18" s="4" t="inlineStr"/>
    </row>
    <row r="19">
      <c r="A19" s="4" t="inlineStr">
        <is>
          <t>10</t>
        </is>
      </c>
      <c r="B19" s="4" t="inlineStr">
        <is>
          <t>10</t>
        </is>
      </c>
      <c r="C19" s="4" t="inlineStr">
        <is>
          <t>Singsun</t>
        </is>
      </c>
      <c r="D19" s="4" t="inlineStr">
        <is>
          <t>Tracker</t>
        </is>
      </c>
      <c r="E19" s="4" t="n">
        <v>2</v>
      </c>
      <c r="F19" s="4" t="inlineStr">
        <is>
          <t>Mariangola</t>
        </is>
      </c>
      <c r="G19" s="4" t="inlineStr"/>
      <c r="H19" s="4" t="inlineStr">
        <is>
          <t>En producción</t>
        </is>
      </c>
      <c r="I19" s="5" t="n"/>
      <c r="J19" s="5" t="n">
        <v>46239</v>
      </c>
      <c r="K19" s="5" t="n">
        <v>46254</v>
      </c>
      <c r="L19" s="5" t="n"/>
      <c r="M19" s="5" t="n">
        <v>46294</v>
      </c>
      <c r="N19" s="4" t="inlineStr"/>
      <c r="O19" s="4" t="inlineStr">
        <is>
          <t>Pending</t>
        </is>
      </c>
      <c r="P19" s="20" t="n">
        <v>123843.08</v>
      </c>
      <c r="Q19" s="30" t="n">
        <v>0.1</v>
      </c>
      <c r="R19" s="21">
        <f>IF($A19="","",ROUND(P19*Q19,2))</f>
        <v/>
      </c>
      <c r="S19" s="5" t="n"/>
      <c r="T19" s="4" t="inlineStr">
        <is>
          <t>Pagado</t>
        </is>
      </c>
      <c r="U19" s="5" t="n">
        <v>46176</v>
      </c>
      <c r="V19" s="21">
        <f>IF($A19="","",ROUND(P19-R19,2))</f>
        <v/>
      </c>
      <c r="W19" s="5" t="n"/>
      <c r="X19" s="4" t="inlineStr">
        <is>
          <t>Pendiente</t>
        </is>
      </c>
      <c r="Y19" s="5" t="n"/>
      <c r="Z19" s="21">
        <f>IF($A19="","",IF(T19="Pagado",N(R19),0)+IF(X19="Pagado",N(V19),0))</f>
        <v/>
      </c>
      <c r="AA19" s="21">
        <f>IF($A19="","",ROUND(N(P19)-N(Z19),2))</f>
        <v/>
      </c>
      <c r="AB19" s="21">
        <f>IF($A19="","",SUMIF('OTROS COMPONENTES'!$A$4:$A$200,$A19,'OTROS COMPONENTES'!$D$4:$D$200))</f>
        <v/>
      </c>
      <c r="AC19" s="21">
        <f>IF($A19="","",SUMIF('OTROS COMPONENTES'!$A$4:$A$200,$A19,'OTROS COMPONENTES'!$E$4:$E$200))</f>
        <v/>
      </c>
      <c r="AD19" s="21">
        <f>IF($A19="","",ROUND(N(AB19)-N(AC19),2))</f>
        <v/>
      </c>
      <c r="AE19" s="21">
        <f>IF($A19="","",ROUND(N(P19)+N(AB19),2))</f>
        <v/>
      </c>
      <c r="AF19" s="21">
        <f>IF($A19="","",ROUND(N(Z19)+N(AC19),2))</f>
        <v/>
      </c>
      <c r="AG19" s="21">
        <f>IF($A19="","",ROUND(N(AA19)+N(AD19),2))</f>
        <v/>
      </c>
      <c r="AH19" s="9">
        <f>IF($A19="","",IF(OR($H19="Por confirmar",$H19="Cerrado"),"No","Sí"))</f>
        <v/>
      </c>
      <c r="AI19" s="21">
        <f>IF($A19="","",IF(AH19="No",0,IF(RESUMEN!$B$4="Saldo por pagar al fabricante",AA19,IF(RESUMEN!$B$4="Monto completo del pedido",P19,IF(OR($H19="Embarcando",$H19="Embarcado"),N(AA19),N(P19))))))</f>
        <v/>
      </c>
      <c r="AJ19" s="10">
        <f>IF($A19="","",IF(COUNTIF($A$4:$A$200,$A19)&gt;1,"ID_Pedido repetido",IF(N($P19)&lt;=0,"Falta el costo del fabricante",IF($F19="","Falta el proyecto",IF($G19="","Falta el cliente",IF(AND($H19&lt;&gt;"Por confirmar",N($R19)&gt;0,$T19=""),"Falta el estado del anticipo",IF(AND($H19&lt;&gt;"Por confirmar",N($V19)&gt;0,$X19=""),"Falta el estado del balance",IF($E19&gt;1,""&amp;$E19&amp;" equipos en una fila: pártela en una por proyecto",IF(AND($X19="Pendiente",N($V19)&gt;0,$W19=""),"Falta la fecha en que vence el balance",IF(AND($H19&lt;&gt;"Por confirmar",$H19&lt;&gt;"Cerrado",$AI19=0),"Consume 0 de cupo pero no está Por confirmar",""))))))))))</f>
        <v/>
      </c>
      <c r="AK19" s="4" t="inlineStr"/>
    </row>
    <row r="20">
      <c r="A20" s="4" t="inlineStr">
        <is>
          <t>11-1</t>
        </is>
      </c>
      <c r="B20" s="4" t="inlineStr">
        <is>
          <t>11</t>
        </is>
      </c>
      <c r="C20" s="4" t="inlineStr">
        <is>
          <t>Singsun</t>
        </is>
      </c>
      <c r="D20" s="4" t="inlineStr">
        <is>
          <t>Tracker</t>
        </is>
      </c>
      <c r="E20" s="4" t="n">
        <v>3</v>
      </c>
      <c r="F20" s="4" t="inlineStr">
        <is>
          <t>Santo Tomas Sur 1/2/3 (1P) -&gt; Enexa</t>
        </is>
      </c>
      <c r="G20" s="4" t="inlineStr">
        <is>
          <t>Solenium</t>
        </is>
      </c>
      <c r="H20" s="4" t="inlineStr">
        <is>
          <t>En producción</t>
        </is>
      </c>
      <c r="I20" s="5" t="n"/>
      <c r="J20" s="5" t="n">
        <v>46310</v>
      </c>
      <c r="K20" s="5" t="n"/>
      <c r="L20" s="5" t="n"/>
      <c r="M20" s="5" t="n"/>
      <c r="N20" s="4" t="inlineStr"/>
      <c r="O20" s="4" t="inlineStr">
        <is>
          <t>Pending</t>
        </is>
      </c>
      <c r="P20" s="20" t="n">
        <v>212149.08</v>
      </c>
      <c r="Q20" s="30" t="n">
        <v>0.0667</v>
      </c>
      <c r="R20" s="21">
        <f>IF($A20="","",ROUND(P20*Q20,2))</f>
        <v/>
      </c>
      <c r="S20" s="5" t="n"/>
      <c r="T20" s="4" t="inlineStr">
        <is>
          <t>Pagado</t>
        </is>
      </c>
      <c r="U20" s="5" t="n">
        <v>46227</v>
      </c>
      <c r="V20" s="21">
        <f>IF($A20="","",ROUND(P20-R20,2))</f>
        <v/>
      </c>
      <c r="W20" s="5" t="n"/>
      <c r="X20" s="4" t="inlineStr">
        <is>
          <t>Pendiente</t>
        </is>
      </c>
      <c r="Y20" s="5" t="n"/>
      <c r="Z20" s="21">
        <f>IF($A20="","",IF(T20="Pagado",N(R20),0)+IF(X20="Pagado",N(V20),0))</f>
        <v/>
      </c>
      <c r="AA20" s="21">
        <f>IF($A20="","",ROUND(N(P20)-N(Z20),2))</f>
        <v/>
      </c>
      <c r="AB20" s="21">
        <f>IF($A20="","",SUMIF('OTROS COMPONENTES'!$A$4:$A$200,$A20,'OTROS COMPONENTES'!$D$4:$D$200))</f>
        <v/>
      </c>
      <c r="AC20" s="21">
        <f>IF($A20="","",SUMIF('OTROS COMPONENTES'!$A$4:$A$200,$A20,'OTROS COMPONENTES'!$E$4:$E$200))</f>
        <v/>
      </c>
      <c r="AD20" s="21">
        <f>IF($A20="","",ROUND(N(AB20)-N(AC20),2))</f>
        <v/>
      </c>
      <c r="AE20" s="21">
        <f>IF($A20="","",ROUND(N(P20)+N(AB20),2))</f>
        <v/>
      </c>
      <c r="AF20" s="21">
        <f>IF($A20="","",ROUND(N(Z20)+N(AC20),2))</f>
        <v/>
      </c>
      <c r="AG20" s="21">
        <f>IF($A20="","",ROUND(N(AA20)+N(AD20),2))</f>
        <v/>
      </c>
      <c r="AH20" s="9">
        <f>IF($A20="","",IF(OR($H20="Por confirmar",$H20="Cerrado"),"No","Sí"))</f>
        <v/>
      </c>
      <c r="AI20" s="21">
        <f>IF($A20="","",IF(AH20="No",0,IF(RESUMEN!$B$4="Saldo por pagar al fabricante",AA20,IF(RESUMEN!$B$4="Monto completo del pedido",P20,IF(OR($H20="Embarcando",$H20="Embarcado"),N(AA20),N(P20))))))</f>
        <v/>
      </c>
      <c r="AJ20" s="10">
        <f>IF($A20="","",IF(COUNTIF($A$4:$A$200,$A20)&gt;1,"ID_Pedido repetido",IF(N($P20)&lt;=0,"Falta el costo del fabricante",IF($F20="","Falta el proyecto",IF($G20="","Falta el cliente",IF(AND($H20&lt;&gt;"Por confirmar",N($R20)&gt;0,$T20=""),"Falta el estado del anticipo",IF(AND($H20&lt;&gt;"Por confirmar",N($V20)&gt;0,$X20=""),"Falta el estado del balance",IF($E20&gt;1,""&amp;$E20&amp;" equipos en una fila: pártela en una por proyecto",IF(AND($X20="Pendiente",N($V20)&gt;0,$W20=""),"Falta la fecha en que vence el balance",IF(AND($H20&lt;&gt;"Por confirmar",$H20&lt;&gt;"Cerrado",$AI20=0),"Consume 0 de cupo pero no está Por confirmar",""))))))))))</f>
        <v/>
      </c>
      <c r="AK20" s="4" t="inlineStr"/>
    </row>
    <row r="21">
      <c r="A21" s="4" t="inlineStr">
        <is>
          <t>11-2</t>
        </is>
      </c>
      <c r="B21" s="4" t="inlineStr">
        <is>
          <t>11</t>
        </is>
      </c>
      <c r="C21" s="4" t="inlineStr">
        <is>
          <t>Singsun</t>
        </is>
      </c>
      <c r="D21" s="4" t="inlineStr">
        <is>
          <t>Tracker</t>
        </is>
      </c>
      <c r="E21" s="4" t="n">
        <v>1</v>
      </c>
      <c r="F21" s="4" t="inlineStr"/>
      <c r="G21" s="4" t="inlineStr">
        <is>
          <t>Solenium</t>
        </is>
      </c>
      <c r="H21" s="4" t="inlineStr">
        <is>
          <t>En producción</t>
        </is>
      </c>
      <c r="I21" s="5" t="n"/>
      <c r="J21" s="5" t="n">
        <v>46237</v>
      </c>
      <c r="K21" s="5" t="n">
        <v>46257</v>
      </c>
      <c r="L21" s="5" t="n"/>
      <c r="M21" s="5" t="n">
        <v>46279</v>
      </c>
      <c r="N21" s="4" t="inlineStr"/>
      <c r="O21" s="4" t="inlineStr">
        <is>
          <t>Pending</t>
        </is>
      </c>
      <c r="P21" s="20" t="n">
        <v>3290</v>
      </c>
      <c r="Q21" s="30" t="n">
        <v>1</v>
      </c>
      <c r="R21" s="21">
        <f>IF($A21="","",ROUND(P21*Q21,2))</f>
        <v/>
      </c>
      <c r="S21" s="5" t="n"/>
      <c r="T21" s="4" t="inlineStr">
        <is>
          <t>Pagado</t>
        </is>
      </c>
      <c r="U21" s="5" t="n">
        <v>46225</v>
      </c>
      <c r="V21" s="21">
        <f>IF($A21="","",ROUND(P21-R21,2))</f>
        <v/>
      </c>
      <c r="W21" s="5" t="n"/>
      <c r="X21" s="4" t="inlineStr"/>
      <c r="Y21" s="5" t="n"/>
      <c r="Z21" s="21">
        <f>IF($A21="","",IF(T21="Pagado",N(R21),0)+IF(X21="Pagado",N(V21),0))</f>
        <v/>
      </c>
      <c r="AA21" s="21">
        <f>IF($A21="","",ROUND(N(P21)-N(Z21),2))</f>
        <v/>
      </c>
      <c r="AB21" s="21">
        <f>IF($A21="","",SUMIF('OTROS COMPONENTES'!$A$4:$A$200,$A21,'OTROS COMPONENTES'!$D$4:$D$200))</f>
        <v/>
      </c>
      <c r="AC21" s="21">
        <f>IF($A21="","",SUMIF('OTROS COMPONENTES'!$A$4:$A$200,$A21,'OTROS COMPONENTES'!$E$4:$E$200))</f>
        <v/>
      </c>
      <c r="AD21" s="21">
        <f>IF($A21="","",ROUND(N(AB21)-N(AC21),2))</f>
        <v/>
      </c>
      <c r="AE21" s="21">
        <f>IF($A21="","",ROUND(N(P21)+N(AB21),2))</f>
        <v/>
      </c>
      <c r="AF21" s="21">
        <f>IF($A21="","",ROUND(N(Z21)+N(AC21),2))</f>
        <v/>
      </c>
      <c r="AG21" s="21">
        <f>IF($A21="","",ROUND(N(AA21)+N(AD21),2))</f>
        <v/>
      </c>
      <c r="AH21" s="9">
        <f>IF($A21="","",IF(OR($H21="Por confirmar",$H21="Cerrado"),"No","Sí"))</f>
        <v/>
      </c>
      <c r="AI21" s="21">
        <f>IF($A21="","",IF(AH21="No",0,IF(RESUMEN!$B$4="Saldo por pagar al fabricante",AA21,IF(RESUMEN!$B$4="Monto completo del pedido",P21,IF(OR($H21="Embarcando",$H21="Embarcado"),N(AA21),N(P21))))))</f>
        <v/>
      </c>
      <c r="AJ21" s="10">
        <f>IF($A21="","",IF(COUNTIF($A$4:$A$200,$A21)&gt;1,"ID_Pedido repetido",IF(N($P21)&lt;=0,"Falta el costo del fabricante",IF($F21="","Falta el proyecto",IF($G21="","Falta el cliente",IF(AND($H21&lt;&gt;"Por confirmar",N($R21)&gt;0,$T21=""),"Falta el estado del anticipo",IF(AND($H21&lt;&gt;"Por confirmar",N($V21)&gt;0,$X21=""),"Falta el estado del balance",IF($E21&gt;1,""&amp;$E21&amp;" equipos en una fila: pártela en una por proyecto",IF(AND($X21="Pendiente",N($V21)&gt;0,$W21=""),"Falta la fecha en que vence el balance",IF(AND($H21&lt;&gt;"Por confirmar",$H21&lt;&gt;"Cerrado",$AI21=0),"Consume 0 de cupo pero no está Por confirmar",""))))))))))</f>
        <v/>
      </c>
      <c r="AK21" s="4" t="inlineStr"/>
    </row>
    <row r="22">
      <c r="A22" s="4" t="inlineStr">
        <is>
          <t>11-3</t>
        </is>
      </c>
      <c r="B22" s="4" t="inlineStr">
        <is>
          <t>11</t>
        </is>
      </c>
      <c r="C22" s="4" t="inlineStr">
        <is>
          <t>Singsun</t>
        </is>
      </c>
      <c r="D22" s="4" t="inlineStr">
        <is>
          <t>Tracker</t>
        </is>
      </c>
      <c r="E22" s="4" t="n">
        <v>1</v>
      </c>
      <c r="F22" s="4" t="inlineStr">
        <is>
          <t>Molinos 3 (1P)</t>
        </is>
      </c>
      <c r="G22" s="4" t="inlineStr">
        <is>
          <t>Solenium</t>
        </is>
      </c>
      <c r="H22" s="4" t="inlineStr">
        <is>
          <t>En producción</t>
        </is>
      </c>
      <c r="I22" s="5" t="n"/>
      <c r="J22" s="5" t="n">
        <v>46310</v>
      </c>
      <c r="K22" s="5" t="n"/>
      <c r="L22" s="5" t="n"/>
      <c r="M22" s="5" t="n"/>
      <c r="N22" s="4" t="inlineStr"/>
      <c r="O22" s="4" t="inlineStr">
        <is>
          <t>Pending</t>
        </is>
      </c>
      <c r="P22" s="20" t="n">
        <v>63801</v>
      </c>
      <c r="Q22" s="30" t="n">
        <v>0.1</v>
      </c>
      <c r="R22" s="21">
        <f>IF($A22="","",ROUND(P22*Q22,2))</f>
        <v/>
      </c>
      <c r="S22" s="5" t="n"/>
      <c r="T22" s="4" t="inlineStr">
        <is>
          <t>Pagado</t>
        </is>
      </c>
      <c r="U22" s="5" t="n">
        <v>46227</v>
      </c>
      <c r="V22" s="21">
        <f>IF($A22="","",ROUND(P22-R22,2))</f>
        <v/>
      </c>
      <c r="W22" s="5" t="n"/>
      <c r="X22" s="4" t="inlineStr">
        <is>
          <t>Pendiente</t>
        </is>
      </c>
      <c r="Y22" s="5" t="n"/>
      <c r="Z22" s="21">
        <f>IF($A22="","",IF(T22="Pagado",N(R22),0)+IF(X22="Pagado",N(V22),0))</f>
        <v/>
      </c>
      <c r="AA22" s="21">
        <f>IF($A22="","",ROUND(N(P22)-N(Z22),2))</f>
        <v/>
      </c>
      <c r="AB22" s="21">
        <f>IF($A22="","",SUMIF('OTROS COMPONENTES'!$A$4:$A$200,$A22,'OTROS COMPONENTES'!$D$4:$D$200))</f>
        <v/>
      </c>
      <c r="AC22" s="21">
        <f>IF($A22="","",SUMIF('OTROS COMPONENTES'!$A$4:$A$200,$A22,'OTROS COMPONENTES'!$E$4:$E$200))</f>
        <v/>
      </c>
      <c r="AD22" s="21">
        <f>IF($A22="","",ROUND(N(AB22)-N(AC22),2))</f>
        <v/>
      </c>
      <c r="AE22" s="21">
        <f>IF($A22="","",ROUND(N(P22)+N(AB22),2))</f>
        <v/>
      </c>
      <c r="AF22" s="21">
        <f>IF($A22="","",ROUND(N(Z22)+N(AC22),2))</f>
        <v/>
      </c>
      <c r="AG22" s="21">
        <f>IF($A22="","",ROUND(N(AA22)+N(AD22),2))</f>
        <v/>
      </c>
      <c r="AH22" s="9">
        <f>IF($A22="","",IF(OR($H22="Por confirmar",$H22="Cerrado"),"No","Sí"))</f>
        <v/>
      </c>
      <c r="AI22" s="21">
        <f>IF($A22="","",IF(AH22="No",0,IF(RESUMEN!$B$4="Saldo por pagar al fabricante",AA22,IF(RESUMEN!$B$4="Monto completo del pedido",P22,IF(OR($H22="Embarcando",$H22="Embarcado"),N(AA22),N(P22))))))</f>
        <v/>
      </c>
      <c r="AJ22" s="10">
        <f>IF($A22="","",IF(COUNTIF($A$4:$A$200,$A22)&gt;1,"ID_Pedido repetido",IF(N($P22)&lt;=0,"Falta el costo del fabricante",IF($F22="","Falta el proyecto",IF($G22="","Falta el cliente",IF(AND($H22&lt;&gt;"Por confirmar",N($R22)&gt;0,$T22=""),"Falta el estado del anticipo",IF(AND($H22&lt;&gt;"Por confirmar",N($V22)&gt;0,$X22=""),"Falta el estado del balance",IF($E22&gt;1,""&amp;$E22&amp;" equipos en una fila: pártela en una por proyecto",IF(AND($X22="Pendiente",N($V22)&gt;0,$W22=""),"Falta la fecha en que vence el balance",IF(AND($H22&lt;&gt;"Por confirmar",$H22&lt;&gt;"Cerrado",$AI22=0),"Consume 0 de cupo pero no está Por confirmar",""))))))))))</f>
        <v/>
      </c>
      <c r="AK22" s="4" t="inlineStr"/>
    </row>
    <row r="23">
      <c r="A23" s="4" t="inlineStr">
        <is>
          <t>11-4</t>
        </is>
      </c>
      <c r="B23" s="4" t="inlineStr">
        <is>
          <t>11</t>
        </is>
      </c>
      <c r="C23" s="4" t="inlineStr">
        <is>
          <t>Singsun</t>
        </is>
      </c>
      <c r="D23" s="4" t="inlineStr">
        <is>
          <t>Tracker</t>
        </is>
      </c>
      <c r="E23" s="4" t="n">
        <v>1</v>
      </c>
      <c r="F23" s="4" t="inlineStr">
        <is>
          <t>Urumita (2)</t>
        </is>
      </c>
      <c r="G23" s="4" t="inlineStr">
        <is>
          <t>Solenium</t>
        </is>
      </c>
      <c r="H23" s="4" t="inlineStr">
        <is>
          <t>En producción</t>
        </is>
      </c>
      <c r="I23" s="5" t="n"/>
      <c r="J23" s="5" t="n">
        <v>46310</v>
      </c>
      <c r="K23" s="5" t="n"/>
      <c r="L23" s="5" t="n"/>
      <c r="M23" s="5" t="n"/>
      <c r="N23" s="4" t="inlineStr"/>
      <c r="O23" s="4" t="inlineStr">
        <is>
          <t>Pending</t>
        </is>
      </c>
      <c r="P23" s="20" t="n">
        <v>60420.49</v>
      </c>
      <c r="Q23" s="30" t="n">
        <v>0.1</v>
      </c>
      <c r="R23" s="21">
        <f>IF($A23="","",ROUND(P23*Q23,2))</f>
        <v/>
      </c>
      <c r="S23" s="5" t="n"/>
      <c r="T23" s="4" t="inlineStr">
        <is>
          <t>Pagado</t>
        </is>
      </c>
      <c r="U23" s="5" t="n">
        <v>46268</v>
      </c>
      <c r="V23" s="21">
        <f>IF($A23="","",ROUND(P23-R23,2))</f>
        <v/>
      </c>
      <c r="W23" s="5" t="n"/>
      <c r="X23" s="4" t="inlineStr">
        <is>
          <t>Pendiente</t>
        </is>
      </c>
      <c r="Y23" s="5" t="n"/>
      <c r="Z23" s="21">
        <f>IF($A23="","",IF(T23="Pagado",N(R23),0)+IF(X23="Pagado",N(V23),0))</f>
        <v/>
      </c>
      <c r="AA23" s="21">
        <f>IF($A23="","",ROUND(N(P23)-N(Z23),2))</f>
        <v/>
      </c>
      <c r="AB23" s="21">
        <f>IF($A23="","",SUMIF('OTROS COMPONENTES'!$A$4:$A$200,$A23,'OTROS COMPONENTES'!$D$4:$D$200))</f>
        <v/>
      </c>
      <c r="AC23" s="21">
        <f>IF($A23="","",SUMIF('OTROS COMPONENTES'!$A$4:$A$200,$A23,'OTROS COMPONENTES'!$E$4:$E$200))</f>
        <v/>
      </c>
      <c r="AD23" s="21">
        <f>IF($A23="","",ROUND(N(AB23)-N(AC23),2))</f>
        <v/>
      </c>
      <c r="AE23" s="21">
        <f>IF($A23="","",ROUND(N(P23)+N(AB23),2))</f>
        <v/>
      </c>
      <c r="AF23" s="21">
        <f>IF($A23="","",ROUND(N(Z23)+N(AC23),2))</f>
        <v/>
      </c>
      <c r="AG23" s="21">
        <f>IF($A23="","",ROUND(N(AA23)+N(AD23),2))</f>
        <v/>
      </c>
      <c r="AH23" s="9">
        <f>IF($A23="","",IF(OR($H23="Por confirmar",$H23="Cerrado"),"No","Sí"))</f>
        <v/>
      </c>
      <c r="AI23" s="21">
        <f>IF($A23="","",IF(AH23="No",0,IF(RESUMEN!$B$4="Saldo por pagar al fabricante",AA23,IF(RESUMEN!$B$4="Monto completo del pedido",P23,IF(OR($H23="Embarcando",$H23="Embarcado"),N(AA23),N(P23))))))</f>
        <v/>
      </c>
      <c r="AJ23" s="10">
        <f>IF($A23="","",IF(COUNTIF($A$4:$A$200,$A23)&gt;1,"ID_Pedido repetido",IF(N($P23)&lt;=0,"Falta el costo del fabricante",IF($F23="","Falta el proyecto",IF($G23="","Falta el cliente",IF(AND($H23&lt;&gt;"Por confirmar",N($R23)&gt;0,$T23=""),"Falta el estado del anticipo",IF(AND($H23&lt;&gt;"Por confirmar",N($V23)&gt;0,$X23=""),"Falta el estado del balance",IF($E23&gt;1,""&amp;$E23&amp;" equipos en una fila: pártela en una por proyecto",IF(AND($X23="Pendiente",N($V23)&gt;0,$W23=""),"Falta la fecha en que vence el balance",IF(AND($H23&lt;&gt;"Por confirmar",$H23&lt;&gt;"Cerrado",$AI23=0),"Consume 0 de cupo pero no está Por confirmar",""))))))))))</f>
        <v/>
      </c>
      <c r="AK23" s="4" t="inlineStr"/>
    </row>
    <row r="24">
      <c r="A24" s="4" t="inlineStr">
        <is>
          <t>CFM2-3</t>
        </is>
      </c>
      <c r="B24" s="4" t="inlineStr">
        <is>
          <t>CFM2</t>
        </is>
      </c>
      <c r="C24" s="4" t="inlineStr">
        <is>
          <t>Eaglerise</t>
        </is>
      </c>
      <c r="D24" s="4" t="inlineStr">
        <is>
          <t>Shelter</t>
        </is>
      </c>
      <c r="E24" s="4" t="n">
        <v>4</v>
      </c>
      <c r="F24" s="4" t="inlineStr"/>
      <c r="G24" s="4" t="inlineStr">
        <is>
          <t>Solenium</t>
        </is>
      </c>
      <c r="H24" s="4" t="inlineStr">
        <is>
          <t>Embarcado</t>
        </is>
      </c>
      <c r="I24" s="5" t="n"/>
      <c r="J24" s="5" t="n">
        <v>46117</v>
      </c>
      <c r="K24" s="5" t="n">
        <v>46150</v>
      </c>
      <c r="L24" s="5" t="n"/>
      <c r="M24" s="5" t="n">
        <v>46173</v>
      </c>
      <c r="N24" s="4" t="inlineStr">
        <is>
          <t>SHP00992933</t>
        </is>
      </c>
      <c r="O24" s="4" t="inlineStr">
        <is>
          <t>Released</t>
        </is>
      </c>
      <c r="P24" s="20" t="n">
        <v>277400</v>
      </c>
      <c r="Q24" s="30" t="n">
        <v>0.5558999999999999</v>
      </c>
      <c r="R24" s="21">
        <f>IF($A24="","",ROUND(P24*Q24,2))</f>
        <v/>
      </c>
      <c r="S24" s="5" t="n"/>
      <c r="T24" s="4" t="inlineStr">
        <is>
          <t>Pagado</t>
        </is>
      </c>
      <c r="U24" s="5" t="n"/>
      <c r="V24" s="21">
        <f>IF($A24="","",ROUND(P24-R24,2))</f>
        <v/>
      </c>
      <c r="W24" s="5" t="n">
        <v>46210</v>
      </c>
      <c r="X24" s="4" t="inlineStr">
        <is>
          <t>Pendiente</t>
        </is>
      </c>
      <c r="Y24" s="5" t="n"/>
      <c r="Z24" s="21">
        <f>IF($A24="","",IF(T24="Pagado",N(R24),0)+IF(X24="Pagado",N(V24),0))</f>
        <v/>
      </c>
      <c r="AA24" s="21">
        <f>IF($A24="","",ROUND(N(P24)-N(Z24),2))</f>
        <v/>
      </c>
      <c r="AB24" s="21">
        <f>IF($A24="","",SUMIF('OTROS COMPONENTES'!$A$4:$A$200,$A24,'OTROS COMPONENTES'!$D$4:$D$200))</f>
        <v/>
      </c>
      <c r="AC24" s="21">
        <f>IF($A24="","",SUMIF('OTROS COMPONENTES'!$A$4:$A$200,$A24,'OTROS COMPONENTES'!$E$4:$E$200))</f>
        <v/>
      </c>
      <c r="AD24" s="21">
        <f>IF($A24="","",ROUND(N(AB24)-N(AC24),2))</f>
        <v/>
      </c>
      <c r="AE24" s="21">
        <f>IF($A24="","",ROUND(N(P24)+N(AB24),2))</f>
        <v/>
      </c>
      <c r="AF24" s="21">
        <f>IF($A24="","",ROUND(N(Z24)+N(AC24),2))</f>
        <v/>
      </c>
      <c r="AG24" s="21">
        <f>IF($A24="","",ROUND(N(AA24)+N(AD24),2))</f>
        <v/>
      </c>
      <c r="AH24" s="9">
        <f>IF($A24="","",IF(OR($H24="Por confirmar",$H24="Cerrado"),"No","Sí"))</f>
        <v/>
      </c>
      <c r="AI24" s="21">
        <f>IF($A24="","",IF(AH24="No",0,IF(RESUMEN!$B$4="Saldo por pagar al fabricante",AA24,IF(RESUMEN!$B$4="Monto completo del pedido",P24,IF(OR($H24="Embarcando",$H24="Embarcado"),N(AA24),N(P24))))))</f>
        <v/>
      </c>
      <c r="AJ24" s="10">
        <f>IF($A24="","",IF(COUNTIF($A$4:$A$200,$A24)&gt;1,"ID_Pedido repetido",IF(N($P24)&lt;=0,"Falta el costo del fabricante",IF($F24="","Falta el proyecto",IF($G24="","Falta el cliente",IF(AND($H24&lt;&gt;"Por confirmar",N($R24)&gt;0,$T24=""),"Falta el estado del anticipo",IF(AND($H24&lt;&gt;"Por confirmar",N($V24)&gt;0,$X24=""),"Falta el estado del balance",IF($E24&gt;1,""&amp;$E24&amp;" equipos en una fila: pártela en una por proyecto",IF(AND($X24="Pendiente",N($V24)&gt;0,$W24=""),"Falta la fecha en que vence el balance",IF(AND($H24&lt;&gt;"Por confirmar",$H24&lt;&gt;"Cerrado",$AI24=0),"Consume 0 de cupo pero no está Por confirmar",""))))))))))</f>
        <v/>
      </c>
      <c r="AK24" s="4" t="inlineStr">
        <is>
          <t>Estado de pago deducido: venía en blanco en el detailed</t>
        </is>
      </c>
    </row>
    <row r="25">
      <c r="A25" s="4" t="inlineStr">
        <is>
          <t>CFM3-1</t>
        </is>
      </c>
      <c r="B25" s="4" t="inlineStr">
        <is>
          <t>CFM3</t>
        </is>
      </c>
      <c r="C25" s="4" t="inlineStr">
        <is>
          <t>Eaglerise</t>
        </is>
      </c>
      <c r="D25" s="4" t="inlineStr">
        <is>
          <t>Shelter</t>
        </is>
      </c>
      <c r="E25" s="4" t="n">
        <v>4</v>
      </c>
      <c r="F25" s="4" t="inlineStr">
        <is>
          <t>Girón Oriente / Curumaní / Galapa</t>
        </is>
      </c>
      <c r="G25" s="4" t="inlineStr">
        <is>
          <t>Solenium</t>
        </is>
      </c>
      <c r="H25" s="4" t="inlineStr">
        <is>
          <t>Embarcado</t>
        </is>
      </c>
      <c r="I25" s="5" t="n"/>
      <c r="J25" s="5" t="n">
        <v>46127</v>
      </c>
      <c r="K25" s="5" t="n">
        <v>46155</v>
      </c>
      <c r="L25" s="5" t="n"/>
      <c r="M25" s="5" t="n">
        <v>46180</v>
      </c>
      <c r="N25" s="4" t="inlineStr">
        <is>
          <t>SHP0099184</t>
        </is>
      </c>
      <c r="O25" s="4" t="inlineStr">
        <is>
          <t>Released</t>
        </is>
      </c>
      <c r="P25" s="20" t="n">
        <v>257600</v>
      </c>
      <c r="Q25" s="30" t="n">
        <v>0.2</v>
      </c>
      <c r="R25" s="21">
        <f>IF($A25="","",ROUND(P25*Q25,2))</f>
        <v/>
      </c>
      <c r="S25" s="5" t="n"/>
      <c r="T25" s="4" t="inlineStr">
        <is>
          <t>Pagado</t>
        </is>
      </c>
      <c r="U25" s="5" t="n">
        <v>46128</v>
      </c>
      <c r="V25" s="21">
        <f>IF($A25="","",ROUND(P25-R25,2))</f>
        <v/>
      </c>
      <c r="W25" s="5" t="n">
        <v>46215</v>
      </c>
      <c r="X25" s="4" t="inlineStr">
        <is>
          <t>Pendiente</t>
        </is>
      </c>
      <c r="Y25" s="5" t="n"/>
      <c r="Z25" s="21">
        <f>IF($A25="","",IF(T25="Pagado",N(R25),0)+IF(X25="Pagado",N(V25),0))</f>
        <v/>
      </c>
      <c r="AA25" s="21">
        <f>IF($A25="","",ROUND(N(P25)-N(Z25),2))</f>
        <v/>
      </c>
      <c r="AB25" s="21">
        <f>IF($A25="","",SUMIF('OTROS COMPONENTES'!$A$4:$A$200,$A25,'OTROS COMPONENTES'!$D$4:$D$200))</f>
        <v/>
      </c>
      <c r="AC25" s="21">
        <f>IF($A25="","",SUMIF('OTROS COMPONENTES'!$A$4:$A$200,$A25,'OTROS COMPONENTES'!$E$4:$E$200))</f>
        <v/>
      </c>
      <c r="AD25" s="21">
        <f>IF($A25="","",ROUND(N(AB25)-N(AC25),2))</f>
        <v/>
      </c>
      <c r="AE25" s="21">
        <f>IF($A25="","",ROUND(N(P25)+N(AB25),2))</f>
        <v/>
      </c>
      <c r="AF25" s="21">
        <f>IF($A25="","",ROUND(N(Z25)+N(AC25),2))</f>
        <v/>
      </c>
      <c r="AG25" s="21">
        <f>IF($A25="","",ROUND(N(AA25)+N(AD25),2))</f>
        <v/>
      </c>
      <c r="AH25" s="9">
        <f>IF($A25="","",IF(OR($H25="Por confirmar",$H25="Cerrado"),"No","Sí"))</f>
        <v/>
      </c>
      <c r="AI25" s="21">
        <f>IF($A25="","",IF(AH25="No",0,IF(RESUMEN!$B$4="Saldo por pagar al fabricante",AA25,IF(RESUMEN!$B$4="Monto completo del pedido",P25,IF(OR($H25="Embarcando",$H25="Embarcado"),N(AA25),N(P25))))))</f>
        <v/>
      </c>
      <c r="AJ25" s="10">
        <f>IF($A25="","",IF(COUNTIF($A$4:$A$200,$A25)&gt;1,"ID_Pedido repetido",IF(N($P25)&lt;=0,"Falta el costo del fabricante",IF($F25="","Falta el proyecto",IF($G25="","Falta el cliente",IF(AND($H25&lt;&gt;"Por confirmar",N($R25)&gt;0,$T25=""),"Falta el estado del anticipo",IF(AND($H25&lt;&gt;"Por confirmar",N($V25)&gt;0,$X25=""),"Falta el estado del balance",IF($E25&gt;1,""&amp;$E25&amp;" equipos en una fila: pártela en una por proyecto",IF(AND($X25="Pendiente",N($V25)&gt;0,$W25=""),"Falta la fecha en que vence el balance",IF(AND($H25&lt;&gt;"Por confirmar",$H25&lt;&gt;"Cerrado",$AI25=0),"Consume 0 de cupo pero no está Por confirmar",""))))))))))</f>
        <v/>
      </c>
      <c r="AK25" s="4" t="inlineStr"/>
    </row>
    <row r="26">
      <c r="A26" s="4" t="inlineStr">
        <is>
          <t>CFM3-2</t>
        </is>
      </c>
      <c r="B26" s="4" t="inlineStr">
        <is>
          <t>CFM3</t>
        </is>
      </c>
      <c r="C26" s="4" t="inlineStr">
        <is>
          <t>Eaglerise</t>
        </is>
      </c>
      <c r="D26" s="4" t="inlineStr">
        <is>
          <t>Shelter</t>
        </is>
      </c>
      <c r="E26" s="4" t="n">
        <v>2</v>
      </c>
      <c r="F26" s="4" t="inlineStr"/>
      <c r="G26" s="4" t="inlineStr">
        <is>
          <t>Solenium</t>
        </is>
      </c>
      <c r="H26" s="4" t="inlineStr">
        <is>
          <t>Embarcado</t>
        </is>
      </c>
      <c r="I26" s="5" t="n"/>
      <c r="J26" s="5" t="n">
        <v>46229</v>
      </c>
      <c r="K26" s="5" t="n">
        <v>46239</v>
      </c>
      <c r="L26" s="5" t="n"/>
      <c r="M26" s="5" t="n">
        <v>46262</v>
      </c>
      <c r="N26" s="4" t="inlineStr">
        <is>
          <t>NSZEC260798655</t>
        </is>
      </c>
      <c r="O26" s="4" t="inlineStr">
        <is>
          <t>Released</t>
        </is>
      </c>
      <c r="P26" s="20" t="n">
        <v>128800</v>
      </c>
      <c r="Q26" s="30" t="n">
        <v>0.2</v>
      </c>
      <c r="R26" s="21">
        <f>IF($A26="","",ROUND(P26*Q26,2))</f>
        <v/>
      </c>
      <c r="S26" s="5" t="n"/>
      <c r="T26" s="4" t="inlineStr">
        <is>
          <t>Pagado</t>
        </is>
      </c>
      <c r="U26" s="5" t="n">
        <v>46226</v>
      </c>
      <c r="V26" s="21">
        <f>IF($A26="","",ROUND(P26-R26,2))</f>
        <v/>
      </c>
      <c r="W26" s="5" t="n">
        <v>46299</v>
      </c>
      <c r="X26" s="4" t="inlineStr">
        <is>
          <t>Pendiente</t>
        </is>
      </c>
      <c r="Y26" s="5" t="n"/>
      <c r="Z26" s="21">
        <f>IF($A26="","",IF(T26="Pagado",N(R26),0)+IF(X26="Pagado",N(V26),0))</f>
        <v/>
      </c>
      <c r="AA26" s="21">
        <f>IF($A26="","",ROUND(N(P26)-N(Z26),2))</f>
        <v/>
      </c>
      <c r="AB26" s="21">
        <f>IF($A26="","",SUMIF('OTROS COMPONENTES'!$A$4:$A$200,$A26,'OTROS COMPONENTES'!$D$4:$D$200))</f>
        <v/>
      </c>
      <c r="AC26" s="21">
        <f>IF($A26="","",SUMIF('OTROS COMPONENTES'!$A$4:$A$200,$A26,'OTROS COMPONENTES'!$E$4:$E$200))</f>
        <v/>
      </c>
      <c r="AD26" s="21">
        <f>IF($A26="","",ROUND(N(AB26)-N(AC26),2))</f>
        <v/>
      </c>
      <c r="AE26" s="21">
        <f>IF($A26="","",ROUND(N(P26)+N(AB26),2))</f>
        <v/>
      </c>
      <c r="AF26" s="21">
        <f>IF($A26="","",ROUND(N(Z26)+N(AC26),2))</f>
        <v/>
      </c>
      <c r="AG26" s="21">
        <f>IF($A26="","",ROUND(N(AA26)+N(AD26),2))</f>
        <v/>
      </c>
      <c r="AH26" s="9">
        <f>IF($A26="","",IF(OR($H26="Por confirmar",$H26="Cerrado"),"No","Sí"))</f>
        <v/>
      </c>
      <c r="AI26" s="21">
        <f>IF($A26="","",IF(AH26="No",0,IF(RESUMEN!$B$4="Saldo por pagar al fabricante",AA26,IF(RESUMEN!$B$4="Monto completo del pedido",P26,IF(OR($H26="Embarcando",$H26="Embarcado"),N(AA26),N(P26))))))</f>
        <v/>
      </c>
      <c r="AJ26" s="10">
        <f>IF($A26="","",IF(COUNTIF($A$4:$A$200,$A26)&gt;1,"ID_Pedido repetido",IF(N($P26)&lt;=0,"Falta el costo del fabricante",IF($F26="","Falta el proyecto",IF($G26="","Falta el cliente",IF(AND($H26&lt;&gt;"Por confirmar",N($R26)&gt;0,$T26=""),"Falta el estado del anticipo",IF(AND($H26&lt;&gt;"Por confirmar",N($V26)&gt;0,$X26=""),"Falta el estado del balance",IF($E26&gt;1,""&amp;$E26&amp;" equipos en una fila: pártela en una por proyecto",IF(AND($X26="Pendiente",N($V26)&gt;0,$W26=""),"Falta la fecha en que vence el balance",IF(AND($H26&lt;&gt;"Por confirmar",$H26&lt;&gt;"Cerrado",$AI26=0),"Consume 0 de cupo pero no está Por confirmar",""))))))))))</f>
        <v/>
      </c>
      <c r="AK26" s="4" t="inlineStr"/>
    </row>
    <row r="27">
      <c r="A27" s="4" t="inlineStr">
        <is>
          <t>CFM3-3</t>
        </is>
      </c>
      <c r="B27" s="4" t="inlineStr">
        <is>
          <t>CFM3</t>
        </is>
      </c>
      <c r="C27" s="4" t="inlineStr">
        <is>
          <t>Eaglerise</t>
        </is>
      </c>
      <c r="D27" s="4" t="inlineStr">
        <is>
          <t>Shelter</t>
        </is>
      </c>
      <c r="E27" s="4" t="n">
        <v>2</v>
      </c>
      <c r="F27" s="4" t="inlineStr"/>
      <c r="G27" s="4" t="inlineStr">
        <is>
          <t>Solenium</t>
        </is>
      </c>
      <c r="H27" s="4" t="inlineStr">
        <is>
          <t>Embarcado</t>
        </is>
      </c>
      <c r="I27" s="5" t="n"/>
      <c r="J27" s="5" t="n">
        <v>46221</v>
      </c>
      <c r="K27" s="5" t="n">
        <v>46284</v>
      </c>
      <c r="L27" s="5" t="n"/>
      <c r="M27" s="5" t="n">
        <v>46326</v>
      </c>
      <c r="N27" s="4" t="inlineStr"/>
      <c r="O27" s="4" t="inlineStr">
        <is>
          <t>Pending</t>
        </is>
      </c>
      <c r="P27" s="20" t="n">
        <v>128800</v>
      </c>
      <c r="Q27" s="30" t="n">
        <v>0.2</v>
      </c>
      <c r="R27" s="21">
        <f>IF($A27="","",ROUND(P27*Q27,2))</f>
        <v/>
      </c>
      <c r="S27" s="5" t="n"/>
      <c r="T27" s="4" t="inlineStr">
        <is>
          <t>Pagado</t>
        </is>
      </c>
      <c r="U27" s="5" t="n">
        <v>46266</v>
      </c>
      <c r="V27" s="21">
        <f>IF($A27="","",ROUND(P27-R27,2))</f>
        <v/>
      </c>
      <c r="W27" s="5" t="n">
        <v>46344</v>
      </c>
      <c r="X27" s="4" t="inlineStr">
        <is>
          <t>Pendiente</t>
        </is>
      </c>
      <c r="Y27" s="5" t="n"/>
      <c r="Z27" s="21">
        <f>IF($A27="","",IF(T27="Pagado",N(R27),0)+IF(X27="Pagado",N(V27),0))</f>
        <v/>
      </c>
      <c r="AA27" s="21">
        <f>IF($A27="","",ROUND(N(P27)-N(Z27),2))</f>
        <v/>
      </c>
      <c r="AB27" s="21">
        <f>IF($A27="","",SUMIF('OTROS COMPONENTES'!$A$4:$A$200,$A27,'OTROS COMPONENTES'!$D$4:$D$200))</f>
        <v/>
      </c>
      <c r="AC27" s="21">
        <f>IF($A27="","",SUMIF('OTROS COMPONENTES'!$A$4:$A$200,$A27,'OTROS COMPONENTES'!$E$4:$E$200))</f>
        <v/>
      </c>
      <c r="AD27" s="21">
        <f>IF($A27="","",ROUND(N(AB27)-N(AC27),2))</f>
        <v/>
      </c>
      <c r="AE27" s="21">
        <f>IF($A27="","",ROUND(N(P27)+N(AB27),2))</f>
        <v/>
      </c>
      <c r="AF27" s="21">
        <f>IF($A27="","",ROUND(N(Z27)+N(AC27),2))</f>
        <v/>
      </c>
      <c r="AG27" s="21">
        <f>IF($A27="","",ROUND(N(AA27)+N(AD27),2))</f>
        <v/>
      </c>
      <c r="AH27" s="9">
        <f>IF($A27="","",IF(OR($H27="Por confirmar",$H27="Cerrado"),"No","Sí"))</f>
        <v/>
      </c>
      <c r="AI27" s="21">
        <f>IF($A27="","",IF(AH27="No",0,IF(RESUMEN!$B$4="Saldo por pagar al fabricante",AA27,IF(RESUMEN!$B$4="Monto completo del pedido",P27,IF(OR($H27="Embarcando",$H27="Embarcado"),N(AA27),N(P27))))))</f>
        <v/>
      </c>
      <c r="AJ27" s="10">
        <f>IF($A27="","",IF(COUNTIF($A$4:$A$200,$A27)&gt;1,"ID_Pedido repetido",IF(N($P27)&lt;=0,"Falta el costo del fabricante",IF($F27="","Falta el proyecto",IF($G27="","Falta el cliente",IF(AND($H27&lt;&gt;"Por confirmar",N($R27)&gt;0,$T27=""),"Falta el estado del anticipo",IF(AND($H27&lt;&gt;"Por confirmar",N($V27)&gt;0,$X27=""),"Falta el estado del balance",IF($E27&gt;1,""&amp;$E27&amp;" equipos en una fila: pártela en una por proyecto",IF(AND($X27="Pendiente",N($V27)&gt;0,$W27=""),"Falta la fecha en que vence el balance",IF(AND($H27&lt;&gt;"Por confirmar",$H27&lt;&gt;"Cerrado",$AI27=0),"Consume 0 de cupo pero no está Por confirmar",""))))))))))</f>
        <v/>
      </c>
      <c r="AK27" s="4" t="inlineStr"/>
    </row>
    <row r="28">
      <c r="A28" s="4" t="inlineStr">
        <is>
          <t>CFM3-4</t>
        </is>
      </c>
      <c r="B28" s="4" t="inlineStr">
        <is>
          <t>CFM3</t>
        </is>
      </c>
      <c r="C28" s="4" t="inlineStr">
        <is>
          <t>Eaglerise</t>
        </is>
      </c>
      <c r="D28" s="4" t="inlineStr">
        <is>
          <t>Shelter</t>
        </is>
      </c>
      <c r="E28" s="4" t="n">
        <v>2</v>
      </c>
      <c r="F28" s="4" t="inlineStr"/>
      <c r="G28" s="4" t="inlineStr">
        <is>
          <t>Solenium</t>
        </is>
      </c>
      <c r="H28" s="4" t="inlineStr">
        <is>
          <t>En producción</t>
        </is>
      </c>
      <c r="I28" s="5" t="n"/>
      <c r="J28" s="5" t="n">
        <v>46305</v>
      </c>
      <c r="K28" s="5" t="n"/>
      <c r="L28" s="5" t="n"/>
      <c r="M28" s="5" t="n"/>
      <c r="N28" s="4" t="inlineStr"/>
      <c r="O28" s="4" t="inlineStr">
        <is>
          <t>Pending</t>
        </is>
      </c>
      <c r="P28" s="20" t="n">
        <v>128800</v>
      </c>
      <c r="Q28" s="30" t="n">
        <v>0.2</v>
      </c>
      <c r="R28" s="21">
        <f>IF($A28="","",ROUND(P28*Q28,2))</f>
        <v/>
      </c>
      <c r="S28" s="5" t="n"/>
      <c r="T28" s="4" t="inlineStr">
        <is>
          <t>Pendiente</t>
        </is>
      </c>
      <c r="U28" s="5" t="n"/>
      <c r="V28" s="21">
        <f>IF($A28="","",ROUND(P28-R28,2))</f>
        <v/>
      </c>
      <c r="W28" s="5" t="n">
        <v>46294</v>
      </c>
      <c r="X28" s="4" t="inlineStr">
        <is>
          <t>Pendiente</t>
        </is>
      </c>
      <c r="Y28" s="5" t="n"/>
      <c r="Z28" s="21">
        <f>IF($A28="","",IF(T28="Pagado",N(R28),0)+IF(X28="Pagado",N(V28),0))</f>
        <v/>
      </c>
      <c r="AA28" s="21">
        <f>IF($A28="","",ROUND(N(P28)-N(Z28),2))</f>
        <v/>
      </c>
      <c r="AB28" s="21">
        <f>IF($A28="","",SUMIF('OTROS COMPONENTES'!$A$4:$A$200,$A28,'OTROS COMPONENTES'!$D$4:$D$200))</f>
        <v/>
      </c>
      <c r="AC28" s="21">
        <f>IF($A28="","",SUMIF('OTROS COMPONENTES'!$A$4:$A$200,$A28,'OTROS COMPONENTES'!$E$4:$E$200))</f>
        <v/>
      </c>
      <c r="AD28" s="21">
        <f>IF($A28="","",ROUND(N(AB28)-N(AC28),2))</f>
        <v/>
      </c>
      <c r="AE28" s="21">
        <f>IF($A28="","",ROUND(N(P28)+N(AB28),2))</f>
        <v/>
      </c>
      <c r="AF28" s="21">
        <f>IF($A28="","",ROUND(N(Z28)+N(AC28),2))</f>
        <v/>
      </c>
      <c r="AG28" s="21">
        <f>IF($A28="","",ROUND(N(AA28)+N(AD28),2))</f>
        <v/>
      </c>
      <c r="AH28" s="9">
        <f>IF($A28="","",IF(OR($H28="Por confirmar",$H28="Cerrado"),"No","Sí"))</f>
        <v/>
      </c>
      <c r="AI28" s="21">
        <f>IF($A28="","",IF(AH28="No",0,IF(RESUMEN!$B$4="Saldo por pagar al fabricante",AA28,IF(RESUMEN!$B$4="Monto completo del pedido",P28,IF(OR($H28="Embarcando",$H28="Embarcado"),N(AA28),N(P28))))))</f>
        <v/>
      </c>
      <c r="AJ28" s="10">
        <f>IF($A28="","",IF(COUNTIF($A$4:$A$200,$A28)&gt;1,"ID_Pedido repetido",IF(N($P28)&lt;=0,"Falta el costo del fabricante",IF($F28="","Falta el proyecto",IF($G28="","Falta el cliente",IF(AND($H28&lt;&gt;"Por confirmar",N($R28)&gt;0,$T28=""),"Falta el estado del anticipo",IF(AND($H28&lt;&gt;"Por confirmar",N($V28)&gt;0,$X28=""),"Falta el estado del balance",IF($E28&gt;1,""&amp;$E28&amp;" equipos en una fila: pártela en una por proyecto",IF(AND($X28="Pendiente",N($V28)&gt;0,$W28=""),"Falta la fecha en que vence el balance",IF(AND($H28&lt;&gt;"Por confirmar",$H28&lt;&gt;"Cerrado",$AI28=0),"Consume 0 de cupo pero no está Por confirmar",""))))))))))</f>
        <v/>
      </c>
      <c r="AK28" s="4" t="inlineStr"/>
    </row>
    <row r="29">
      <c r="A29" s="4" t="inlineStr">
        <is>
          <t>CFM4</t>
        </is>
      </c>
      <c r="B29" s="4" t="inlineStr">
        <is>
          <t>CFM4</t>
        </is>
      </c>
      <c r="C29" s="4" t="inlineStr">
        <is>
          <t>Eaglerise</t>
        </is>
      </c>
      <c r="D29" s="4" t="inlineStr">
        <is>
          <t>Shelter</t>
        </is>
      </c>
      <c r="E29" s="4" t="n">
        <v>4</v>
      </c>
      <c r="F29" s="4" t="inlineStr"/>
      <c r="G29" s="4" t="inlineStr">
        <is>
          <t>Solenium</t>
        </is>
      </c>
      <c r="H29" s="4" t="inlineStr">
        <is>
          <t>En producción</t>
        </is>
      </c>
      <c r="I29" s="5" t="n"/>
      <c r="J29" s="5" t="n">
        <v>46305</v>
      </c>
      <c r="K29" s="5" t="n"/>
      <c r="L29" s="5" t="n"/>
      <c r="M29" s="5" t="n"/>
      <c r="N29" s="4" t="inlineStr"/>
      <c r="O29" s="4" t="inlineStr">
        <is>
          <t>Pending</t>
        </is>
      </c>
      <c r="P29" s="20" t="n">
        <v>282720</v>
      </c>
      <c r="Q29" s="30" t="n">
        <v>0.2</v>
      </c>
      <c r="R29" s="21">
        <f>IF($A29="","",ROUND(P29*Q29,2))</f>
        <v/>
      </c>
      <c r="S29" s="5" t="n"/>
      <c r="T29" s="4" t="inlineStr">
        <is>
          <t>Pendiente</t>
        </is>
      </c>
      <c r="U29" s="5" t="n"/>
      <c r="V29" s="21">
        <f>IF($A29="","",ROUND(P29-R29,2))</f>
        <v/>
      </c>
      <c r="W29" s="5" t="n"/>
      <c r="X29" s="4" t="inlineStr">
        <is>
          <t>Pendiente</t>
        </is>
      </c>
      <c r="Y29" s="5" t="n"/>
      <c r="Z29" s="21">
        <f>IF($A29="","",IF(T29="Pagado",N(R29),0)+IF(X29="Pagado",N(V29),0))</f>
        <v/>
      </c>
      <c r="AA29" s="21">
        <f>IF($A29="","",ROUND(N(P29)-N(Z29),2))</f>
        <v/>
      </c>
      <c r="AB29" s="21">
        <f>IF($A29="","",SUMIF('OTROS COMPONENTES'!$A$4:$A$200,$A29,'OTROS COMPONENTES'!$D$4:$D$200))</f>
        <v/>
      </c>
      <c r="AC29" s="21">
        <f>IF($A29="","",SUMIF('OTROS COMPONENTES'!$A$4:$A$200,$A29,'OTROS COMPONENTES'!$E$4:$E$200))</f>
        <v/>
      </c>
      <c r="AD29" s="21">
        <f>IF($A29="","",ROUND(N(AB29)-N(AC29),2))</f>
        <v/>
      </c>
      <c r="AE29" s="21">
        <f>IF($A29="","",ROUND(N(P29)+N(AB29),2))</f>
        <v/>
      </c>
      <c r="AF29" s="21">
        <f>IF($A29="","",ROUND(N(Z29)+N(AC29),2))</f>
        <v/>
      </c>
      <c r="AG29" s="21">
        <f>IF($A29="","",ROUND(N(AA29)+N(AD29),2))</f>
        <v/>
      </c>
      <c r="AH29" s="9">
        <f>IF($A29="","",IF(OR($H29="Por confirmar",$H29="Cerrado"),"No","Sí"))</f>
        <v/>
      </c>
      <c r="AI29" s="21">
        <f>IF($A29="","",IF(AH29="No",0,IF(RESUMEN!$B$4="Saldo por pagar al fabricante",AA29,IF(RESUMEN!$B$4="Monto completo del pedido",P29,IF(OR($H29="Embarcando",$H29="Embarcado"),N(AA29),N(P29))))))</f>
        <v/>
      </c>
      <c r="AJ29" s="10">
        <f>IF($A29="","",IF(COUNTIF($A$4:$A$200,$A29)&gt;1,"ID_Pedido repetido",IF(N($P29)&lt;=0,"Falta el costo del fabricante",IF($F29="","Falta el proyecto",IF($G29="","Falta el cliente",IF(AND($H29&lt;&gt;"Por confirmar",N($R29)&gt;0,$T29=""),"Falta el estado del anticipo",IF(AND($H29&lt;&gt;"Por confirmar",N($V29)&gt;0,$X29=""),"Falta el estado del balance",IF($E29&gt;1,""&amp;$E29&amp;" equipos en una fila: pártela en una por proyecto",IF(AND($X29="Pendiente",N($V29)&gt;0,$W29=""),"Falta la fecha en que vence el balance",IF(AND($H29&lt;&gt;"Por confirmar",$H29&lt;&gt;"Cerrado",$AI29=0),"Consume 0 de cupo pero no está Por confirmar",""))))))))))</f>
        <v/>
      </c>
      <c r="AK29" s="4" t="inlineStr"/>
    </row>
    <row r="30">
      <c r="A30" s="4" t="inlineStr">
        <is>
          <t>12</t>
        </is>
      </c>
      <c r="B30" s="4" t="inlineStr">
        <is>
          <t>12</t>
        </is>
      </c>
      <c r="C30" s="4" t="inlineStr">
        <is>
          <t>Eaglerise</t>
        </is>
      </c>
      <c r="D30" s="4" t="inlineStr">
        <is>
          <t>Shelter</t>
        </is>
      </c>
      <c r="E30" s="4" t="n">
        <v>1</v>
      </c>
      <c r="F30" s="4" t="inlineStr">
        <is>
          <t>Solaris</t>
        </is>
      </c>
      <c r="G30" s="4" t="inlineStr">
        <is>
          <t>Ingenio Verde</t>
        </is>
      </c>
      <c r="H30" s="4" t="inlineStr">
        <is>
          <t>Embarcando</t>
        </is>
      </c>
      <c r="I30" s="5" t="n"/>
      <c r="J30" s="5" t="n">
        <v>46219</v>
      </c>
      <c r="K30" s="5" t="n">
        <v>46234</v>
      </c>
      <c r="L30" s="5" t="n"/>
      <c r="M30" s="5" t="n">
        <v>46268</v>
      </c>
      <c r="N30" s="4" t="inlineStr">
        <is>
          <t>SHP0112516</t>
        </is>
      </c>
      <c r="O30" s="4" t="inlineStr">
        <is>
          <t>Released</t>
        </is>
      </c>
      <c r="P30" s="20" t="n">
        <v>72240</v>
      </c>
      <c r="Q30" s="30" t="n">
        <v>0.2</v>
      </c>
      <c r="R30" s="21">
        <f>IF($A30="","",ROUND(P30*Q30,2))</f>
        <v/>
      </c>
      <c r="S30" s="5" t="n"/>
      <c r="T30" s="4" t="inlineStr">
        <is>
          <t>Pagado</t>
        </is>
      </c>
      <c r="U30" s="5" t="n">
        <v>46142</v>
      </c>
      <c r="V30" s="21">
        <f>IF($A30="","",ROUND(P30-R30,2))</f>
        <v/>
      </c>
      <c r="W30" s="5" t="n">
        <v>46294</v>
      </c>
      <c r="X30" s="4" t="inlineStr">
        <is>
          <t>Pendiente</t>
        </is>
      </c>
      <c r="Y30" s="5" t="n"/>
      <c r="Z30" s="21">
        <f>IF($A30="","",IF(T30="Pagado",N(R30),0)+IF(X30="Pagado",N(V30),0))</f>
        <v/>
      </c>
      <c r="AA30" s="21">
        <f>IF($A30="","",ROUND(N(P30)-N(Z30),2))</f>
        <v/>
      </c>
      <c r="AB30" s="21">
        <f>IF($A30="","",SUMIF('OTROS COMPONENTES'!$A$4:$A$200,$A30,'OTROS COMPONENTES'!$D$4:$D$200))</f>
        <v/>
      </c>
      <c r="AC30" s="21">
        <f>IF($A30="","",SUMIF('OTROS COMPONENTES'!$A$4:$A$200,$A30,'OTROS COMPONENTES'!$E$4:$E$200))</f>
        <v/>
      </c>
      <c r="AD30" s="21">
        <f>IF($A30="","",ROUND(N(AB30)-N(AC30),2))</f>
        <v/>
      </c>
      <c r="AE30" s="21">
        <f>IF($A30="","",ROUND(N(P30)+N(AB30),2))</f>
        <v/>
      </c>
      <c r="AF30" s="21">
        <f>IF($A30="","",ROUND(N(Z30)+N(AC30),2))</f>
        <v/>
      </c>
      <c r="AG30" s="21">
        <f>IF($A30="","",ROUND(N(AA30)+N(AD30),2))</f>
        <v/>
      </c>
      <c r="AH30" s="9">
        <f>IF($A30="","",IF(OR($H30="Por confirmar",$H30="Cerrado"),"No","Sí"))</f>
        <v/>
      </c>
      <c r="AI30" s="21">
        <f>IF($A30="","",IF(AH30="No",0,IF(RESUMEN!$B$4="Saldo por pagar al fabricante",AA30,IF(RESUMEN!$B$4="Monto completo del pedido",P30,IF(OR($H30="Embarcando",$H30="Embarcado"),N(AA30),N(P30))))))</f>
        <v/>
      </c>
      <c r="AJ30" s="10">
        <f>IF($A30="","",IF(COUNTIF($A$4:$A$200,$A30)&gt;1,"ID_Pedido repetido",IF(N($P30)&lt;=0,"Falta el costo del fabricante",IF($F30="","Falta el proyecto",IF($G30="","Falta el cliente",IF(AND($H30&lt;&gt;"Por confirmar",N($R30)&gt;0,$T30=""),"Falta el estado del anticipo",IF(AND($H30&lt;&gt;"Por confirmar",N($V30)&gt;0,$X30=""),"Falta el estado del balance",IF($E30&gt;1,""&amp;$E30&amp;" equipos en una fila: pártela en una por proyecto",IF(AND($X30="Pendiente",N($V30)&gt;0,$W30=""),"Falta la fecha en que vence el balance",IF(AND($H30&lt;&gt;"Por confirmar",$H30&lt;&gt;"Cerrado",$AI30=0),"Consume 0 de cupo pero no está Por confirmar",""))))))))))</f>
        <v/>
      </c>
      <c r="AK30" s="4" t="inlineStr">
        <is>
          <t>El ORDER REPORT traía 111,701 y el detailed 72,240 — se tomó el del detailed</t>
        </is>
      </c>
    </row>
    <row r="31">
      <c r="A31" s="4" t="inlineStr">
        <is>
          <t>13</t>
        </is>
      </c>
      <c r="B31" s="4" t="inlineStr">
        <is>
          <t>13</t>
        </is>
      </c>
      <c r="C31" s="4" t="inlineStr">
        <is>
          <t>Eaglerise</t>
        </is>
      </c>
      <c r="D31" s="4" t="inlineStr">
        <is>
          <t>Shelter</t>
        </is>
      </c>
      <c r="E31" s="4" t="n">
        <v>3</v>
      </c>
      <c r="F31" s="4" t="inlineStr">
        <is>
          <t>COX</t>
        </is>
      </c>
      <c r="G31" s="4" t="inlineStr">
        <is>
          <t>Solenium</t>
        </is>
      </c>
      <c r="H31" s="4" t="inlineStr">
        <is>
          <t>En producción</t>
        </is>
      </c>
      <c r="I31" s="5" t="n"/>
      <c r="J31" s="5" t="n"/>
      <c r="K31" s="5" t="n"/>
      <c r="L31" s="5" t="n"/>
      <c r="M31" s="5" t="n"/>
      <c r="N31" s="4" t="inlineStr"/>
      <c r="O31" s="4" t="inlineStr">
        <is>
          <t>Pending</t>
        </is>
      </c>
      <c r="P31" s="20" t="n">
        <v>146700</v>
      </c>
      <c r="Q31" s="30" t="n">
        <v>0.2</v>
      </c>
      <c r="R31" s="21">
        <f>IF($A31="","",ROUND(P31*Q31,2))</f>
        <v/>
      </c>
      <c r="S31" s="5" t="n"/>
      <c r="T31" s="4" t="inlineStr">
        <is>
          <t>Pendiente</t>
        </is>
      </c>
      <c r="U31" s="5" t="n"/>
      <c r="V31" s="21">
        <f>IF($A31="","",ROUND(P31-R31,2))</f>
        <v/>
      </c>
      <c r="W31" s="5" t="n"/>
      <c r="X31" s="4" t="inlineStr">
        <is>
          <t>Pendiente</t>
        </is>
      </c>
      <c r="Y31" s="5" t="n"/>
      <c r="Z31" s="21">
        <f>IF($A31="","",IF(T31="Pagado",N(R31),0)+IF(X31="Pagado",N(V31),0))</f>
        <v/>
      </c>
      <c r="AA31" s="21">
        <f>IF($A31="","",ROUND(N(P31)-N(Z31),2))</f>
        <v/>
      </c>
      <c r="AB31" s="21">
        <f>IF($A31="","",SUMIF('OTROS COMPONENTES'!$A$4:$A$200,$A31,'OTROS COMPONENTES'!$D$4:$D$200))</f>
        <v/>
      </c>
      <c r="AC31" s="21">
        <f>IF($A31="","",SUMIF('OTROS COMPONENTES'!$A$4:$A$200,$A31,'OTROS COMPONENTES'!$E$4:$E$200))</f>
        <v/>
      </c>
      <c r="AD31" s="21">
        <f>IF($A31="","",ROUND(N(AB31)-N(AC31),2))</f>
        <v/>
      </c>
      <c r="AE31" s="21">
        <f>IF($A31="","",ROUND(N(P31)+N(AB31),2))</f>
        <v/>
      </c>
      <c r="AF31" s="21">
        <f>IF($A31="","",ROUND(N(Z31)+N(AC31),2))</f>
        <v/>
      </c>
      <c r="AG31" s="21">
        <f>IF($A31="","",ROUND(N(AA31)+N(AD31),2))</f>
        <v/>
      </c>
      <c r="AH31" s="9">
        <f>IF($A31="","",IF(OR($H31="Por confirmar",$H31="Cerrado"),"No","Sí"))</f>
        <v/>
      </c>
      <c r="AI31" s="21">
        <f>IF($A31="","",IF(AH31="No",0,IF(RESUMEN!$B$4="Saldo por pagar al fabricante",AA31,IF(RESUMEN!$B$4="Monto completo del pedido",P31,IF(OR($H31="Embarcando",$H31="Embarcado"),N(AA31),N(P31))))))</f>
        <v/>
      </c>
      <c r="AJ31" s="10">
        <f>IF($A31="","",IF(COUNTIF($A$4:$A$200,$A31)&gt;1,"ID_Pedido repetido",IF(N($P31)&lt;=0,"Falta el costo del fabricante",IF($F31="","Falta el proyecto",IF($G31="","Falta el cliente",IF(AND($H31&lt;&gt;"Por confirmar",N($R31)&gt;0,$T31=""),"Falta el estado del anticipo",IF(AND($H31&lt;&gt;"Por confirmar",N($V31)&gt;0,$X31=""),"Falta el estado del balance",IF($E31&gt;1,""&amp;$E31&amp;" equipos en una fila: pártela en una por proyecto",IF(AND($X31="Pendiente",N($V31)&gt;0,$W31=""),"Falta la fecha en que vence el balance",IF(AND($H31&lt;&gt;"Por confirmar",$H31&lt;&gt;"Cerrado",$AI31=0),"Consume 0 de cupo pero no está Por confirmar",""))))))))))</f>
        <v/>
      </c>
      <c r="AK31" s="4" t="inlineStr"/>
    </row>
    <row r="32">
      <c r="A32" s="4" t="inlineStr">
        <is>
          <t>14</t>
        </is>
      </c>
      <c r="B32" s="4" t="inlineStr">
        <is>
          <t>14</t>
        </is>
      </c>
      <c r="C32" s="4" t="inlineStr">
        <is>
          <t>Eaglerise</t>
        </is>
      </c>
      <c r="D32" s="4" t="inlineStr">
        <is>
          <t>Shelter</t>
        </is>
      </c>
      <c r="E32" s="4" t="n">
        <v>1</v>
      </c>
      <c r="F32" s="4" t="inlineStr">
        <is>
          <t>Siliana</t>
        </is>
      </c>
      <c r="G32" s="4" t="inlineStr">
        <is>
          <t>Solenium</t>
        </is>
      </c>
      <c r="H32" s="4" t="inlineStr">
        <is>
          <t>Embarcando</t>
        </is>
      </c>
      <c r="I32" s="5" t="n"/>
      <c r="J32" s="5" t="n">
        <v>46288</v>
      </c>
      <c r="K32" s="5" t="n"/>
      <c r="L32" s="5" t="n"/>
      <c r="M32" s="5" t="n"/>
      <c r="N32" s="4" t="inlineStr"/>
      <c r="O32" s="4" t="inlineStr">
        <is>
          <t>Pending</t>
        </is>
      </c>
      <c r="P32" s="20" t="n">
        <v>72240</v>
      </c>
      <c r="Q32" s="30" t="n">
        <v>0.2</v>
      </c>
      <c r="R32" s="21">
        <f>IF($A32="","",ROUND(P32*Q32,2))</f>
        <v/>
      </c>
      <c r="S32" s="5" t="n"/>
      <c r="T32" s="4" t="inlineStr">
        <is>
          <t>Pendiente</t>
        </is>
      </c>
      <c r="U32" s="5" t="n"/>
      <c r="V32" s="21">
        <f>IF($A32="","",ROUND(P32-R32,2))</f>
        <v/>
      </c>
      <c r="W32" s="5" t="n">
        <v>46294</v>
      </c>
      <c r="X32" s="4" t="inlineStr">
        <is>
          <t>Pendiente</t>
        </is>
      </c>
      <c r="Y32" s="5" t="n"/>
      <c r="Z32" s="21">
        <f>IF($A32="","",IF(T32="Pagado",N(R32),0)+IF(X32="Pagado",N(V32),0))</f>
        <v/>
      </c>
      <c r="AA32" s="21">
        <f>IF($A32="","",ROUND(N(P32)-N(Z32),2))</f>
        <v/>
      </c>
      <c r="AB32" s="21">
        <f>IF($A32="","",SUMIF('OTROS COMPONENTES'!$A$4:$A$200,$A32,'OTROS COMPONENTES'!$D$4:$D$200))</f>
        <v/>
      </c>
      <c r="AC32" s="21">
        <f>IF($A32="","",SUMIF('OTROS COMPONENTES'!$A$4:$A$200,$A32,'OTROS COMPONENTES'!$E$4:$E$200))</f>
        <v/>
      </c>
      <c r="AD32" s="21">
        <f>IF($A32="","",ROUND(N(AB32)-N(AC32),2))</f>
        <v/>
      </c>
      <c r="AE32" s="21">
        <f>IF($A32="","",ROUND(N(P32)+N(AB32),2))</f>
        <v/>
      </c>
      <c r="AF32" s="21">
        <f>IF($A32="","",ROUND(N(Z32)+N(AC32),2))</f>
        <v/>
      </c>
      <c r="AG32" s="21">
        <f>IF($A32="","",ROUND(N(AA32)+N(AD32),2))</f>
        <v/>
      </c>
      <c r="AH32" s="9">
        <f>IF($A32="","",IF(OR($H32="Por confirmar",$H32="Cerrado"),"No","Sí"))</f>
        <v/>
      </c>
      <c r="AI32" s="21">
        <f>IF($A32="","",IF(AH32="No",0,IF(RESUMEN!$B$4="Saldo por pagar al fabricante",AA32,IF(RESUMEN!$B$4="Monto completo del pedido",P32,IF(OR($H32="Embarcando",$H32="Embarcado"),N(AA32),N(P32))))))</f>
        <v/>
      </c>
      <c r="AJ32" s="10">
        <f>IF($A32="","",IF(COUNTIF($A$4:$A$200,$A32)&gt;1,"ID_Pedido repetido",IF(N($P32)&lt;=0,"Falta el costo del fabricante",IF($F32="","Falta el proyecto",IF($G32="","Falta el cliente",IF(AND($H32&lt;&gt;"Por confirmar",N($R32)&gt;0,$T32=""),"Falta el estado del anticipo",IF(AND($H32&lt;&gt;"Por confirmar",N($V32)&gt;0,$X32=""),"Falta el estado del balance",IF($E32&gt;1,""&amp;$E32&amp;" equipos en una fila: pártela en una por proyecto",IF(AND($X32="Pendiente",N($V32)&gt;0,$W32=""),"Falta la fecha en que vence el balance",IF(AND($H32&lt;&gt;"Por confirmar",$H32&lt;&gt;"Cerrado",$AI32=0),"Consume 0 de cupo pero no está Por confirmar",""))))))))))</f>
        <v/>
      </c>
      <c r="AK32" s="4" t="inlineStr"/>
    </row>
    <row r="33">
      <c r="A33" s="4" t="inlineStr">
        <is>
          <t>15</t>
        </is>
      </c>
      <c r="B33" s="4" t="inlineStr">
        <is>
          <t>15</t>
        </is>
      </c>
      <c r="C33" s="4" t="inlineStr">
        <is>
          <t>Eaglerise</t>
        </is>
      </c>
      <c r="D33" s="4" t="inlineStr">
        <is>
          <t>Shelter</t>
        </is>
      </c>
      <c r="E33" s="4" t="n">
        <v>2</v>
      </c>
      <c r="F33" s="4" t="inlineStr">
        <is>
          <t>3200 msnm</t>
        </is>
      </c>
      <c r="G33" s="4" t="inlineStr">
        <is>
          <t>Solenium</t>
        </is>
      </c>
      <c r="H33" s="4" t="inlineStr">
        <is>
          <t>En producción</t>
        </is>
      </c>
      <c r="I33" s="5" t="n"/>
      <c r="J33" s="5" t="n">
        <v>46326</v>
      </c>
      <c r="K33" s="5" t="n"/>
      <c r="L33" s="5" t="n"/>
      <c r="M33" s="5" t="n"/>
      <c r="N33" s="4" t="inlineStr"/>
      <c r="O33" s="4" t="inlineStr">
        <is>
          <t>Pending</t>
        </is>
      </c>
      <c r="P33" s="20" t="n">
        <v>139000</v>
      </c>
      <c r="Q33" s="30" t="n">
        <v>0.2</v>
      </c>
      <c r="R33" s="21">
        <f>IF($A33="","",ROUND(P33*Q33,2))</f>
        <v/>
      </c>
      <c r="S33" s="5" t="n"/>
      <c r="T33" s="4" t="inlineStr">
        <is>
          <t>Pendiente</t>
        </is>
      </c>
      <c r="U33" s="5" t="n"/>
      <c r="V33" s="21">
        <f>IF($A33="","",ROUND(P33-R33,2))</f>
        <v/>
      </c>
      <c r="W33" s="5" t="n"/>
      <c r="X33" s="4" t="inlineStr">
        <is>
          <t>Pendiente</t>
        </is>
      </c>
      <c r="Y33" s="5" t="n"/>
      <c r="Z33" s="21">
        <f>IF($A33="","",IF(T33="Pagado",N(R33),0)+IF(X33="Pagado",N(V33),0))</f>
        <v/>
      </c>
      <c r="AA33" s="21">
        <f>IF($A33="","",ROUND(N(P33)-N(Z33),2))</f>
        <v/>
      </c>
      <c r="AB33" s="21">
        <f>IF($A33="","",SUMIF('OTROS COMPONENTES'!$A$4:$A$200,$A33,'OTROS COMPONENTES'!$D$4:$D$200))</f>
        <v/>
      </c>
      <c r="AC33" s="21">
        <f>IF($A33="","",SUMIF('OTROS COMPONENTES'!$A$4:$A$200,$A33,'OTROS COMPONENTES'!$E$4:$E$200))</f>
        <v/>
      </c>
      <c r="AD33" s="21">
        <f>IF($A33="","",ROUND(N(AB33)-N(AC33),2))</f>
        <v/>
      </c>
      <c r="AE33" s="21">
        <f>IF($A33="","",ROUND(N(P33)+N(AB33),2))</f>
        <v/>
      </c>
      <c r="AF33" s="21">
        <f>IF($A33="","",ROUND(N(Z33)+N(AC33),2))</f>
        <v/>
      </c>
      <c r="AG33" s="21">
        <f>IF($A33="","",ROUND(N(AA33)+N(AD33),2))</f>
        <v/>
      </c>
      <c r="AH33" s="9">
        <f>IF($A33="","",IF(OR($H33="Por confirmar",$H33="Cerrado"),"No","Sí"))</f>
        <v/>
      </c>
      <c r="AI33" s="21">
        <f>IF($A33="","",IF(AH33="No",0,IF(RESUMEN!$B$4="Saldo por pagar al fabricante",AA33,IF(RESUMEN!$B$4="Monto completo del pedido",P33,IF(OR($H33="Embarcando",$H33="Embarcado"),N(AA33),N(P33))))))</f>
        <v/>
      </c>
      <c r="AJ33" s="10">
        <f>IF($A33="","",IF(COUNTIF($A$4:$A$200,$A33)&gt;1,"ID_Pedido repetido",IF(N($P33)&lt;=0,"Falta el costo del fabricante",IF($F33="","Falta el proyecto",IF($G33="","Falta el cliente",IF(AND($H33&lt;&gt;"Por confirmar",N($R33)&gt;0,$T33=""),"Falta el estado del anticipo",IF(AND($H33&lt;&gt;"Por confirmar",N($V33)&gt;0,$X33=""),"Falta el estado del balance",IF($E33&gt;1,""&amp;$E33&amp;" equipos en una fila: pártela en una por proyecto",IF(AND($X33="Pendiente",N($V33)&gt;0,$W33=""),"Falta la fecha en que vence el balance",IF(AND($H33&lt;&gt;"Por confirmar",$H33&lt;&gt;"Cerrado",$AI33=0),"Consume 0 de cupo pero no está Por confirmar",""))))))))))</f>
        <v/>
      </c>
      <c r="AK33" s="4" t="inlineStr"/>
    </row>
    <row r="34">
      <c r="A34" s="4" t="inlineStr">
        <is>
          <t>16</t>
        </is>
      </c>
      <c r="B34" s="4" t="inlineStr">
        <is>
          <t>16</t>
        </is>
      </c>
      <c r="C34" s="4" t="inlineStr">
        <is>
          <t>Eaglerise</t>
        </is>
      </c>
      <c r="D34" s="4" t="inlineStr">
        <is>
          <t>Shelter</t>
        </is>
      </c>
      <c r="E34" s="4" t="n">
        <v>8</v>
      </c>
      <c r="F34" s="4" t="inlineStr"/>
      <c r="G34" s="4" t="inlineStr">
        <is>
          <t>Solenium</t>
        </is>
      </c>
      <c r="H34" s="4" t="inlineStr">
        <is>
          <t>Por confirmar</t>
        </is>
      </c>
      <c r="I34" s="5" t="n"/>
      <c r="J34" s="5" t="n">
        <v>46336</v>
      </c>
      <c r="K34" s="5" t="n"/>
      <c r="L34" s="5" t="n"/>
      <c r="M34" s="5" t="n"/>
      <c r="N34" s="4" t="inlineStr"/>
      <c r="O34" s="4" t="inlineStr">
        <is>
          <t>Pending</t>
        </is>
      </c>
      <c r="P34" s="20" t="n">
        <v>515200</v>
      </c>
      <c r="Q34" s="30" t="n">
        <v>0</v>
      </c>
      <c r="R34" s="21">
        <f>IF($A34="","",ROUND(P34*Q34,2))</f>
        <v/>
      </c>
      <c r="S34" s="5" t="n"/>
      <c r="T34" s="4" t="inlineStr"/>
      <c r="U34" s="5" t="n"/>
      <c r="V34" s="21">
        <f>IF($A34="","",ROUND(P34-R34,2))</f>
        <v/>
      </c>
      <c r="W34" s="5" t="n"/>
      <c r="X34" s="4" t="inlineStr"/>
      <c r="Y34" s="5" t="n"/>
      <c r="Z34" s="21">
        <f>IF($A34="","",IF(T34="Pagado",N(R34),0)+IF(X34="Pagado",N(V34),0))</f>
        <v/>
      </c>
      <c r="AA34" s="21">
        <f>IF($A34="","",ROUND(N(P34)-N(Z34),2))</f>
        <v/>
      </c>
      <c r="AB34" s="21">
        <f>IF($A34="","",SUMIF('OTROS COMPONENTES'!$A$4:$A$200,$A34,'OTROS COMPONENTES'!$D$4:$D$200))</f>
        <v/>
      </c>
      <c r="AC34" s="21">
        <f>IF($A34="","",SUMIF('OTROS COMPONENTES'!$A$4:$A$200,$A34,'OTROS COMPONENTES'!$E$4:$E$200))</f>
        <v/>
      </c>
      <c r="AD34" s="21">
        <f>IF($A34="","",ROUND(N(AB34)-N(AC34),2))</f>
        <v/>
      </c>
      <c r="AE34" s="21">
        <f>IF($A34="","",ROUND(N(P34)+N(AB34),2))</f>
        <v/>
      </c>
      <c r="AF34" s="21">
        <f>IF($A34="","",ROUND(N(Z34)+N(AC34),2))</f>
        <v/>
      </c>
      <c r="AG34" s="21">
        <f>IF($A34="","",ROUND(N(AA34)+N(AD34),2))</f>
        <v/>
      </c>
      <c r="AH34" s="9">
        <f>IF($A34="","",IF(OR($H34="Por confirmar",$H34="Cerrado"),"No","Sí"))</f>
        <v/>
      </c>
      <c r="AI34" s="21">
        <f>IF($A34="","",IF(AH34="No",0,IF(RESUMEN!$B$4="Saldo por pagar al fabricante",AA34,IF(RESUMEN!$B$4="Monto completo del pedido",P34,IF(OR($H34="Embarcando",$H34="Embarcado"),N(AA34),N(P34))))))</f>
        <v/>
      </c>
      <c r="AJ34" s="10">
        <f>IF($A34="","",IF(COUNTIF($A$4:$A$200,$A34)&gt;1,"ID_Pedido repetido",IF(N($P34)&lt;=0,"Falta el costo del fabricante",IF($F34="","Falta el proyecto",IF($G34="","Falta el cliente",IF(AND($H34&lt;&gt;"Por confirmar",N($R34)&gt;0,$T34=""),"Falta el estado del anticipo",IF(AND($H34&lt;&gt;"Por confirmar",N($V34)&gt;0,$X34=""),"Falta el estado del balance",IF($E34&gt;1,""&amp;$E34&amp;" equipos en una fila: pártela en una por proyecto",IF(AND($X34="Pendiente",N($V34)&gt;0,$W34=""),"Falta la fecha en que vence el balance",IF(AND($H34&lt;&gt;"Por confirmar",$H34&lt;&gt;"Cerrado",$AI34=0),"Consume 0 de cupo pero no está Por confirmar",""))))))))))</f>
        <v/>
      </c>
      <c r="AK34" s="4" t="inlineStr"/>
    </row>
    <row r="35">
      <c r="A35" s="4" t="n"/>
      <c r="B35" s="4" t="n"/>
      <c r="C35" s="4" t="n"/>
      <c r="D35" s="4" t="n"/>
      <c r="E35" s="4" t="n"/>
      <c r="F35" s="4" t="n"/>
      <c r="G35" s="4" t="n"/>
      <c r="H35" s="4" t="n"/>
      <c r="I35" s="5" t="n"/>
      <c r="J35" s="5" t="n"/>
      <c r="K35" s="5" t="n"/>
      <c r="L35" s="5" t="n"/>
      <c r="M35" s="5" t="n"/>
      <c r="N35" s="4" t="n"/>
      <c r="O35" s="4" t="n"/>
      <c r="P35" s="20" t="n"/>
      <c r="Q35" s="30" t="n"/>
      <c r="R35" s="21">
        <f>IF($A35="","",ROUND(P35*Q35,2))</f>
        <v/>
      </c>
      <c r="S35" s="5" t="n"/>
      <c r="T35" s="4" t="n"/>
      <c r="U35" s="5" t="n"/>
      <c r="V35" s="21">
        <f>IF($A35="","",ROUND(P35-R35,2))</f>
        <v/>
      </c>
      <c r="W35" s="5" t="n"/>
      <c r="X35" s="4" t="n"/>
      <c r="Y35" s="5" t="n"/>
      <c r="Z35" s="21">
        <f>IF($A35="","",IF(T35="Pagado",N(R35),0)+IF(X35="Pagado",N(V35),0))</f>
        <v/>
      </c>
      <c r="AA35" s="21">
        <f>IF($A35="","",ROUND(N(P35)-N(Z35),2))</f>
        <v/>
      </c>
      <c r="AB35" s="21">
        <f>IF($A35="","",SUMIF('OTROS COMPONENTES'!$A$4:$A$200,$A35,'OTROS COMPONENTES'!$D$4:$D$200))</f>
        <v/>
      </c>
      <c r="AC35" s="21">
        <f>IF($A35="","",SUMIF('OTROS COMPONENTES'!$A$4:$A$200,$A35,'OTROS COMPONENTES'!$E$4:$E$200))</f>
        <v/>
      </c>
      <c r="AD35" s="21">
        <f>IF($A35="","",ROUND(N(AB35)-N(AC35),2))</f>
        <v/>
      </c>
      <c r="AE35" s="21">
        <f>IF($A35="","",ROUND(N(P35)+N(AB35),2))</f>
        <v/>
      </c>
      <c r="AF35" s="21">
        <f>IF($A35="","",ROUND(N(Z35)+N(AC35),2))</f>
        <v/>
      </c>
      <c r="AG35" s="21">
        <f>IF($A35="","",ROUND(N(AA35)+N(AD35),2))</f>
        <v/>
      </c>
      <c r="AH35" s="9">
        <f>IF($A35="","",IF(OR($H35="Por confirmar",$H35="Cerrado"),"No","Sí"))</f>
        <v/>
      </c>
      <c r="AI35" s="21">
        <f>IF($A35="","",IF(AH35="No",0,IF(RESUMEN!$B$4="Saldo por pagar al fabricante",AA35,IF(RESUMEN!$B$4="Monto completo del pedido",P35,IF(OR($H35="Embarcando",$H35="Embarcado"),N(AA35),N(P35))))))</f>
        <v/>
      </c>
      <c r="AJ35" s="9">
        <f>IF($A35="","",IF(COUNTIF($A$4:$A$200,$A35)&gt;1,"ID_Pedido repetido",IF(N($P35)&lt;=0,"Falta el costo del fabricante",IF($F35="","Falta el proyecto",IF($G35="","Falta el cliente",IF(AND($H35&lt;&gt;"Por confirmar",N($R35)&gt;0,$T35=""),"Falta el estado del anticipo",IF(AND($H35&lt;&gt;"Por confirmar",N($V35)&gt;0,$X35=""),"Falta el estado del balance",IF($E35&gt;1,""&amp;$E35&amp;" equipos en una fila: pártela en una por proyecto",IF(AND($X35="Pendiente",N($V35)&gt;0,$W35=""),"Falta la fecha en que vence el balance",IF(AND($H35&lt;&gt;"Por confirmar",$H35&lt;&gt;"Cerrado",$AI35=0),"Consume 0 de cupo pero no está Por confirmar",""))))))))))</f>
        <v/>
      </c>
      <c r="AK35" s="4" t="n"/>
    </row>
    <row r="36">
      <c r="A36" s="4" t="n"/>
      <c r="B36" s="4" t="n"/>
      <c r="C36" s="4" t="n"/>
      <c r="D36" s="4" t="n"/>
      <c r="E36" s="4" t="n"/>
      <c r="F36" s="4" t="n"/>
      <c r="G36" s="4" t="n"/>
      <c r="H36" s="4" t="n"/>
      <c r="I36" s="5" t="n"/>
      <c r="J36" s="5" t="n"/>
      <c r="K36" s="5" t="n"/>
      <c r="L36" s="5" t="n"/>
      <c r="M36" s="5" t="n"/>
      <c r="N36" s="4" t="n"/>
      <c r="O36" s="4" t="n"/>
      <c r="P36" s="20" t="n"/>
      <c r="Q36" s="30" t="n"/>
      <c r="R36" s="21">
        <f>IF($A36="","",ROUND(P36*Q36,2))</f>
        <v/>
      </c>
      <c r="S36" s="5" t="n"/>
      <c r="T36" s="4" t="n"/>
      <c r="U36" s="5" t="n"/>
      <c r="V36" s="21">
        <f>IF($A36="","",ROUND(P36-R36,2))</f>
        <v/>
      </c>
      <c r="W36" s="5" t="n"/>
      <c r="X36" s="4" t="n"/>
      <c r="Y36" s="5" t="n"/>
      <c r="Z36" s="21">
        <f>IF($A36="","",IF(T36="Pagado",N(R36),0)+IF(X36="Pagado",N(V36),0))</f>
        <v/>
      </c>
      <c r="AA36" s="21">
        <f>IF($A36="","",ROUND(N(P36)-N(Z36),2))</f>
        <v/>
      </c>
      <c r="AB36" s="21">
        <f>IF($A36="","",SUMIF('OTROS COMPONENTES'!$A$4:$A$200,$A36,'OTROS COMPONENTES'!$D$4:$D$200))</f>
        <v/>
      </c>
      <c r="AC36" s="21">
        <f>IF($A36="","",SUMIF('OTROS COMPONENTES'!$A$4:$A$200,$A36,'OTROS COMPONENTES'!$E$4:$E$200))</f>
        <v/>
      </c>
      <c r="AD36" s="21">
        <f>IF($A36="","",ROUND(N(AB36)-N(AC36),2))</f>
        <v/>
      </c>
      <c r="AE36" s="21">
        <f>IF($A36="","",ROUND(N(P36)+N(AB36),2))</f>
        <v/>
      </c>
      <c r="AF36" s="21">
        <f>IF($A36="","",ROUND(N(Z36)+N(AC36),2))</f>
        <v/>
      </c>
      <c r="AG36" s="21">
        <f>IF($A36="","",ROUND(N(AA36)+N(AD36),2))</f>
        <v/>
      </c>
      <c r="AH36" s="9">
        <f>IF($A36="","",IF(OR($H36="Por confirmar",$H36="Cerrado"),"No","Sí"))</f>
        <v/>
      </c>
      <c r="AI36" s="21">
        <f>IF($A36="","",IF(AH36="No",0,IF(RESUMEN!$B$4="Saldo por pagar al fabricante",AA36,IF(RESUMEN!$B$4="Monto completo del pedido",P36,IF(OR($H36="Embarcando",$H36="Embarcado"),N(AA36),N(P36))))))</f>
        <v/>
      </c>
      <c r="AJ36" s="9">
        <f>IF($A36="","",IF(COUNTIF($A$4:$A$200,$A36)&gt;1,"ID_Pedido repetido",IF(N($P36)&lt;=0,"Falta el costo del fabricante",IF($F36="","Falta el proyecto",IF($G36="","Falta el cliente",IF(AND($H36&lt;&gt;"Por confirmar",N($R36)&gt;0,$T36=""),"Falta el estado del anticipo",IF(AND($H36&lt;&gt;"Por confirmar",N($V36)&gt;0,$X36=""),"Falta el estado del balance",IF($E36&gt;1,""&amp;$E36&amp;" equipos en una fila: pártela en una por proyecto",IF(AND($X36="Pendiente",N($V36)&gt;0,$W36=""),"Falta la fecha en que vence el balance",IF(AND($H36&lt;&gt;"Por confirmar",$H36&lt;&gt;"Cerrado",$AI36=0),"Consume 0 de cupo pero no está Por confirmar",""))))))))))</f>
        <v/>
      </c>
      <c r="AK36" s="4" t="n"/>
    </row>
    <row r="37">
      <c r="A37" s="4" t="n"/>
      <c r="B37" s="4" t="n"/>
      <c r="C37" s="4" t="n"/>
      <c r="D37" s="4" t="n"/>
      <c r="E37" s="4" t="n"/>
      <c r="F37" s="4" t="n"/>
      <c r="G37" s="4" t="n"/>
      <c r="H37" s="4" t="n"/>
      <c r="I37" s="5" t="n"/>
      <c r="J37" s="5" t="n"/>
      <c r="K37" s="5" t="n"/>
      <c r="L37" s="5" t="n"/>
      <c r="M37" s="5" t="n"/>
      <c r="N37" s="4" t="n"/>
      <c r="O37" s="4" t="n"/>
      <c r="P37" s="20" t="n"/>
      <c r="Q37" s="30" t="n"/>
      <c r="R37" s="21">
        <f>IF($A37="","",ROUND(P37*Q37,2))</f>
        <v/>
      </c>
      <c r="S37" s="5" t="n"/>
      <c r="T37" s="4" t="n"/>
      <c r="U37" s="5" t="n"/>
      <c r="V37" s="21">
        <f>IF($A37="","",ROUND(P37-R37,2))</f>
        <v/>
      </c>
      <c r="W37" s="5" t="n"/>
      <c r="X37" s="4" t="n"/>
      <c r="Y37" s="5" t="n"/>
      <c r="Z37" s="21">
        <f>IF($A37="","",IF(T37="Pagado",N(R37),0)+IF(X37="Pagado",N(V37),0))</f>
        <v/>
      </c>
      <c r="AA37" s="21">
        <f>IF($A37="","",ROUND(N(P37)-N(Z37),2))</f>
        <v/>
      </c>
      <c r="AB37" s="21">
        <f>IF($A37="","",SUMIF('OTROS COMPONENTES'!$A$4:$A$200,$A37,'OTROS COMPONENTES'!$D$4:$D$200))</f>
        <v/>
      </c>
      <c r="AC37" s="21">
        <f>IF($A37="","",SUMIF('OTROS COMPONENTES'!$A$4:$A$200,$A37,'OTROS COMPONENTES'!$E$4:$E$200))</f>
        <v/>
      </c>
      <c r="AD37" s="21">
        <f>IF($A37="","",ROUND(N(AB37)-N(AC37),2))</f>
        <v/>
      </c>
      <c r="AE37" s="21">
        <f>IF($A37="","",ROUND(N(P37)+N(AB37),2))</f>
        <v/>
      </c>
      <c r="AF37" s="21">
        <f>IF($A37="","",ROUND(N(Z37)+N(AC37),2))</f>
        <v/>
      </c>
      <c r="AG37" s="21">
        <f>IF($A37="","",ROUND(N(AA37)+N(AD37),2))</f>
        <v/>
      </c>
      <c r="AH37" s="9">
        <f>IF($A37="","",IF(OR($H37="Por confirmar",$H37="Cerrado"),"No","Sí"))</f>
        <v/>
      </c>
      <c r="AI37" s="21">
        <f>IF($A37="","",IF(AH37="No",0,IF(RESUMEN!$B$4="Saldo por pagar al fabricante",AA37,IF(RESUMEN!$B$4="Monto completo del pedido",P37,IF(OR($H37="Embarcando",$H37="Embarcado"),N(AA37),N(P37))))))</f>
        <v/>
      </c>
      <c r="AJ37" s="9">
        <f>IF($A37="","",IF(COUNTIF($A$4:$A$200,$A37)&gt;1,"ID_Pedido repetido",IF(N($P37)&lt;=0,"Falta el costo del fabricante",IF($F37="","Falta el proyecto",IF($G37="","Falta el cliente",IF(AND($H37&lt;&gt;"Por confirmar",N($R37)&gt;0,$T37=""),"Falta el estado del anticipo",IF(AND($H37&lt;&gt;"Por confirmar",N($V37)&gt;0,$X37=""),"Falta el estado del balance",IF($E37&gt;1,""&amp;$E37&amp;" equipos en una fila: pártela en una por proyecto",IF(AND($X37="Pendiente",N($V37)&gt;0,$W37=""),"Falta la fecha en que vence el balance",IF(AND($H37&lt;&gt;"Por confirmar",$H37&lt;&gt;"Cerrado",$AI37=0),"Consume 0 de cupo pero no está Por confirmar",""))))))))))</f>
        <v/>
      </c>
      <c r="AK37" s="4" t="n"/>
    </row>
    <row r="38">
      <c r="A38" s="4" t="n"/>
      <c r="B38" s="4" t="n"/>
      <c r="C38" s="4" t="n"/>
      <c r="D38" s="4" t="n"/>
      <c r="E38" s="4" t="n"/>
      <c r="F38" s="4" t="n"/>
      <c r="G38" s="4" t="n"/>
      <c r="H38" s="4" t="n"/>
      <c r="I38" s="5" t="n"/>
      <c r="J38" s="5" t="n"/>
      <c r="K38" s="5" t="n"/>
      <c r="L38" s="5" t="n"/>
      <c r="M38" s="5" t="n"/>
      <c r="N38" s="4" t="n"/>
      <c r="O38" s="4" t="n"/>
      <c r="P38" s="20" t="n"/>
      <c r="Q38" s="30" t="n"/>
      <c r="R38" s="21">
        <f>IF($A38="","",ROUND(P38*Q38,2))</f>
        <v/>
      </c>
      <c r="S38" s="5" t="n"/>
      <c r="T38" s="4" t="n"/>
      <c r="U38" s="5" t="n"/>
      <c r="V38" s="21">
        <f>IF($A38="","",ROUND(P38-R38,2))</f>
        <v/>
      </c>
      <c r="W38" s="5" t="n"/>
      <c r="X38" s="4" t="n"/>
      <c r="Y38" s="5" t="n"/>
      <c r="Z38" s="21">
        <f>IF($A38="","",IF(T38="Pagado",N(R38),0)+IF(X38="Pagado",N(V38),0))</f>
        <v/>
      </c>
      <c r="AA38" s="21">
        <f>IF($A38="","",ROUND(N(P38)-N(Z38),2))</f>
        <v/>
      </c>
      <c r="AB38" s="21">
        <f>IF($A38="","",SUMIF('OTROS COMPONENTES'!$A$4:$A$200,$A38,'OTROS COMPONENTES'!$D$4:$D$200))</f>
        <v/>
      </c>
      <c r="AC38" s="21">
        <f>IF($A38="","",SUMIF('OTROS COMPONENTES'!$A$4:$A$200,$A38,'OTROS COMPONENTES'!$E$4:$E$200))</f>
        <v/>
      </c>
      <c r="AD38" s="21">
        <f>IF($A38="","",ROUND(N(AB38)-N(AC38),2))</f>
        <v/>
      </c>
      <c r="AE38" s="21">
        <f>IF($A38="","",ROUND(N(P38)+N(AB38),2))</f>
        <v/>
      </c>
      <c r="AF38" s="21">
        <f>IF($A38="","",ROUND(N(Z38)+N(AC38),2))</f>
        <v/>
      </c>
      <c r="AG38" s="21">
        <f>IF($A38="","",ROUND(N(AA38)+N(AD38),2))</f>
        <v/>
      </c>
      <c r="AH38" s="9">
        <f>IF($A38="","",IF(OR($H38="Por confirmar",$H38="Cerrado"),"No","Sí"))</f>
        <v/>
      </c>
      <c r="AI38" s="21">
        <f>IF($A38="","",IF(AH38="No",0,IF(RESUMEN!$B$4="Saldo por pagar al fabricante",AA38,IF(RESUMEN!$B$4="Monto completo del pedido",P38,IF(OR($H38="Embarcando",$H38="Embarcado"),N(AA38),N(P38))))))</f>
        <v/>
      </c>
      <c r="AJ38" s="9">
        <f>IF($A38="","",IF(COUNTIF($A$4:$A$200,$A38)&gt;1,"ID_Pedido repetido",IF(N($P38)&lt;=0,"Falta el costo del fabricante",IF($F38="","Falta el proyecto",IF($G38="","Falta el cliente",IF(AND($H38&lt;&gt;"Por confirmar",N($R38)&gt;0,$T38=""),"Falta el estado del anticipo",IF(AND($H38&lt;&gt;"Por confirmar",N($V38)&gt;0,$X38=""),"Falta el estado del balance",IF($E38&gt;1,""&amp;$E38&amp;" equipos en una fila: pártela en una por proyecto",IF(AND($X38="Pendiente",N($V38)&gt;0,$W38=""),"Falta la fecha en que vence el balance",IF(AND($H38&lt;&gt;"Por confirmar",$H38&lt;&gt;"Cerrado",$AI38=0),"Consume 0 de cupo pero no está Por confirmar",""))))))))))</f>
        <v/>
      </c>
      <c r="AK38" s="4" t="n"/>
    </row>
    <row r="39">
      <c r="A39" s="4" t="n"/>
      <c r="B39" s="4" t="n"/>
      <c r="C39" s="4" t="n"/>
      <c r="D39" s="4" t="n"/>
      <c r="E39" s="4" t="n"/>
      <c r="F39" s="4" t="n"/>
      <c r="G39" s="4" t="n"/>
      <c r="H39" s="4" t="n"/>
      <c r="I39" s="5" t="n"/>
      <c r="J39" s="5" t="n"/>
      <c r="K39" s="5" t="n"/>
      <c r="L39" s="5" t="n"/>
      <c r="M39" s="5" t="n"/>
      <c r="N39" s="4" t="n"/>
      <c r="O39" s="4" t="n"/>
      <c r="P39" s="20" t="n"/>
      <c r="Q39" s="30" t="n"/>
      <c r="R39" s="21">
        <f>IF($A39="","",ROUND(P39*Q39,2))</f>
        <v/>
      </c>
      <c r="S39" s="5" t="n"/>
      <c r="T39" s="4" t="n"/>
      <c r="U39" s="5" t="n"/>
      <c r="V39" s="21">
        <f>IF($A39="","",ROUND(P39-R39,2))</f>
        <v/>
      </c>
      <c r="W39" s="5" t="n"/>
      <c r="X39" s="4" t="n"/>
      <c r="Y39" s="5" t="n"/>
      <c r="Z39" s="21">
        <f>IF($A39="","",IF(T39="Pagado",N(R39),0)+IF(X39="Pagado",N(V39),0))</f>
        <v/>
      </c>
      <c r="AA39" s="21">
        <f>IF($A39="","",ROUND(N(P39)-N(Z39),2))</f>
        <v/>
      </c>
      <c r="AB39" s="21">
        <f>IF($A39="","",SUMIF('OTROS COMPONENTES'!$A$4:$A$200,$A39,'OTROS COMPONENTES'!$D$4:$D$200))</f>
        <v/>
      </c>
      <c r="AC39" s="21">
        <f>IF($A39="","",SUMIF('OTROS COMPONENTES'!$A$4:$A$200,$A39,'OTROS COMPONENTES'!$E$4:$E$200))</f>
        <v/>
      </c>
      <c r="AD39" s="21">
        <f>IF($A39="","",ROUND(N(AB39)-N(AC39),2))</f>
        <v/>
      </c>
      <c r="AE39" s="21">
        <f>IF($A39="","",ROUND(N(P39)+N(AB39),2))</f>
        <v/>
      </c>
      <c r="AF39" s="21">
        <f>IF($A39="","",ROUND(N(Z39)+N(AC39),2))</f>
        <v/>
      </c>
      <c r="AG39" s="21">
        <f>IF($A39="","",ROUND(N(AA39)+N(AD39),2))</f>
        <v/>
      </c>
      <c r="AH39" s="9">
        <f>IF($A39="","",IF(OR($H39="Por confirmar",$H39="Cerrado"),"No","Sí"))</f>
        <v/>
      </c>
      <c r="AI39" s="21">
        <f>IF($A39="","",IF(AH39="No",0,IF(RESUMEN!$B$4="Saldo por pagar al fabricante",AA39,IF(RESUMEN!$B$4="Monto completo del pedido",P39,IF(OR($H39="Embarcando",$H39="Embarcado"),N(AA39),N(P39))))))</f>
        <v/>
      </c>
      <c r="AJ39" s="9">
        <f>IF($A39="","",IF(COUNTIF($A$4:$A$200,$A39)&gt;1,"ID_Pedido repetido",IF(N($P39)&lt;=0,"Falta el costo del fabricante",IF($F39="","Falta el proyecto",IF($G39="","Falta el cliente",IF(AND($H39&lt;&gt;"Por confirmar",N($R39)&gt;0,$T39=""),"Falta el estado del anticipo",IF(AND($H39&lt;&gt;"Por confirmar",N($V39)&gt;0,$X39=""),"Falta el estado del balance",IF($E39&gt;1,""&amp;$E39&amp;" equipos en una fila: pártela en una por proyecto",IF(AND($X39="Pendiente",N($V39)&gt;0,$W39=""),"Falta la fecha en que vence el balance",IF(AND($H39&lt;&gt;"Por confirmar",$H39&lt;&gt;"Cerrado",$AI39=0),"Consume 0 de cupo pero no está Por confirmar",""))))))))))</f>
        <v/>
      </c>
      <c r="AK39" s="4" t="n"/>
    </row>
    <row r="40">
      <c r="A40" s="4" t="n"/>
      <c r="B40" s="4" t="n"/>
      <c r="C40" s="4" t="n"/>
      <c r="D40" s="4" t="n"/>
      <c r="E40" s="4" t="n"/>
      <c r="F40" s="4" t="n"/>
      <c r="G40" s="4" t="n"/>
      <c r="H40" s="4" t="n"/>
      <c r="I40" s="5" t="n"/>
      <c r="J40" s="5" t="n"/>
      <c r="K40" s="5" t="n"/>
      <c r="L40" s="5" t="n"/>
      <c r="M40" s="5" t="n"/>
      <c r="N40" s="4" t="n"/>
      <c r="O40" s="4" t="n"/>
      <c r="P40" s="20" t="n"/>
      <c r="Q40" s="30" t="n"/>
      <c r="R40" s="21">
        <f>IF($A40="","",ROUND(P40*Q40,2))</f>
        <v/>
      </c>
      <c r="S40" s="5" t="n"/>
      <c r="T40" s="4" t="n"/>
      <c r="U40" s="5" t="n"/>
      <c r="V40" s="21">
        <f>IF($A40="","",ROUND(P40-R40,2))</f>
        <v/>
      </c>
      <c r="W40" s="5" t="n"/>
      <c r="X40" s="4" t="n"/>
      <c r="Y40" s="5" t="n"/>
      <c r="Z40" s="21">
        <f>IF($A40="","",IF(T40="Pagado",N(R40),0)+IF(X40="Pagado",N(V40),0))</f>
        <v/>
      </c>
      <c r="AA40" s="21">
        <f>IF($A40="","",ROUND(N(P40)-N(Z40),2))</f>
        <v/>
      </c>
      <c r="AB40" s="21">
        <f>IF($A40="","",SUMIF('OTROS COMPONENTES'!$A$4:$A$200,$A40,'OTROS COMPONENTES'!$D$4:$D$200))</f>
        <v/>
      </c>
      <c r="AC40" s="21">
        <f>IF($A40="","",SUMIF('OTROS COMPONENTES'!$A$4:$A$200,$A40,'OTROS COMPONENTES'!$E$4:$E$200))</f>
        <v/>
      </c>
      <c r="AD40" s="21">
        <f>IF($A40="","",ROUND(N(AB40)-N(AC40),2))</f>
        <v/>
      </c>
      <c r="AE40" s="21">
        <f>IF($A40="","",ROUND(N(P40)+N(AB40),2))</f>
        <v/>
      </c>
      <c r="AF40" s="21">
        <f>IF($A40="","",ROUND(N(Z40)+N(AC40),2))</f>
        <v/>
      </c>
      <c r="AG40" s="21">
        <f>IF($A40="","",ROUND(N(AA40)+N(AD40),2))</f>
        <v/>
      </c>
      <c r="AH40" s="9">
        <f>IF($A40="","",IF(OR($H40="Por confirmar",$H40="Cerrado"),"No","Sí"))</f>
        <v/>
      </c>
      <c r="AI40" s="21">
        <f>IF($A40="","",IF(AH40="No",0,IF(RESUMEN!$B$4="Saldo por pagar al fabricante",AA40,IF(RESUMEN!$B$4="Monto completo del pedido",P40,IF(OR($H40="Embarcando",$H40="Embarcado"),N(AA40),N(P40))))))</f>
        <v/>
      </c>
      <c r="AJ40" s="9">
        <f>IF($A40="","",IF(COUNTIF($A$4:$A$200,$A40)&gt;1,"ID_Pedido repetido",IF(N($P40)&lt;=0,"Falta el costo del fabricante",IF($F40="","Falta el proyecto",IF($G40="","Falta el cliente",IF(AND($H40&lt;&gt;"Por confirmar",N($R40)&gt;0,$T40=""),"Falta el estado del anticipo",IF(AND($H40&lt;&gt;"Por confirmar",N($V40)&gt;0,$X40=""),"Falta el estado del balance",IF($E40&gt;1,""&amp;$E40&amp;" equipos en una fila: pártela en una por proyecto",IF(AND($X40="Pendiente",N($V40)&gt;0,$W40=""),"Falta la fecha en que vence el balance",IF(AND($H40&lt;&gt;"Por confirmar",$H40&lt;&gt;"Cerrado",$AI40=0),"Consume 0 de cupo pero no está Por confirmar",""))))))))))</f>
        <v/>
      </c>
      <c r="AK40" s="4" t="n"/>
    </row>
    <row r="41">
      <c r="A41" s="4" t="n"/>
      <c r="B41" s="4" t="n"/>
      <c r="C41" s="4" t="n"/>
      <c r="D41" s="4" t="n"/>
      <c r="E41" s="4" t="n"/>
      <c r="F41" s="4" t="n"/>
      <c r="G41" s="4" t="n"/>
      <c r="H41" s="4" t="n"/>
      <c r="I41" s="5" t="n"/>
      <c r="J41" s="5" t="n"/>
      <c r="K41" s="5" t="n"/>
      <c r="L41" s="5" t="n"/>
      <c r="M41" s="5" t="n"/>
      <c r="N41" s="4" t="n"/>
      <c r="O41" s="4" t="n"/>
      <c r="P41" s="20" t="n"/>
      <c r="Q41" s="30" t="n"/>
      <c r="R41" s="21">
        <f>IF($A41="","",ROUND(P41*Q41,2))</f>
        <v/>
      </c>
      <c r="S41" s="5" t="n"/>
      <c r="T41" s="4" t="n"/>
      <c r="U41" s="5" t="n"/>
      <c r="V41" s="21">
        <f>IF($A41="","",ROUND(P41-R41,2))</f>
        <v/>
      </c>
      <c r="W41" s="5" t="n"/>
      <c r="X41" s="4" t="n"/>
      <c r="Y41" s="5" t="n"/>
      <c r="Z41" s="21">
        <f>IF($A41="","",IF(T41="Pagado",N(R41),0)+IF(X41="Pagado",N(V41),0))</f>
        <v/>
      </c>
      <c r="AA41" s="21">
        <f>IF($A41="","",ROUND(N(P41)-N(Z41),2))</f>
        <v/>
      </c>
      <c r="AB41" s="21">
        <f>IF($A41="","",SUMIF('OTROS COMPONENTES'!$A$4:$A$200,$A41,'OTROS COMPONENTES'!$D$4:$D$200))</f>
        <v/>
      </c>
      <c r="AC41" s="21">
        <f>IF($A41="","",SUMIF('OTROS COMPONENTES'!$A$4:$A$200,$A41,'OTROS COMPONENTES'!$E$4:$E$200))</f>
        <v/>
      </c>
      <c r="AD41" s="21">
        <f>IF($A41="","",ROUND(N(AB41)-N(AC41),2))</f>
        <v/>
      </c>
      <c r="AE41" s="21">
        <f>IF($A41="","",ROUND(N(P41)+N(AB41),2))</f>
        <v/>
      </c>
      <c r="AF41" s="21">
        <f>IF($A41="","",ROUND(N(Z41)+N(AC41),2))</f>
        <v/>
      </c>
      <c r="AG41" s="21">
        <f>IF($A41="","",ROUND(N(AA41)+N(AD41),2))</f>
        <v/>
      </c>
      <c r="AH41" s="9">
        <f>IF($A41="","",IF(OR($H41="Por confirmar",$H41="Cerrado"),"No","Sí"))</f>
        <v/>
      </c>
      <c r="AI41" s="21">
        <f>IF($A41="","",IF(AH41="No",0,IF(RESUMEN!$B$4="Saldo por pagar al fabricante",AA41,IF(RESUMEN!$B$4="Monto completo del pedido",P41,IF(OR($H41="Embarcando",$H41="Embarcado"),N(AA41),N(P41))))))</f>
        <v/>
      </c>
      <c r="AJ41" s="9">
        <f>IF($A41="","",IF(COUNTIF($A$4:$A$200,$A41)&gt;1,"ID_Pedido repetido",IF(N($P41)&lt;=0,"Falta el costo del fabricante",IF($F41="","Falta el proyecto",IF($G41="","Falta el cliente",IF(AND($H41&lt;&gt;"Por confirmar",N($R41)&gt;0,$T41=""),"Falta el estado del anticipo",IF(AND($H41&lt;&gt;"Por confirmar",N($V41)&gt;0,$X41=""),"Falta el estado del balance",IF($E41&gt;1,""&amp;$E41&amp;" equipos en una fila: pártela en una por proyecto",IF(AND($X41="Pendiente",N($V41)&gt;0,$W41=""),"Falta la fecha en que vence el balance",IF(AND($H41&lt;&gt;"Por confirmar",$H41&lt;&gt;"Cerrado",$AI41=0),"Consume 0 de cupo pero no está Por confirmar",""))))))))))</f>
        <v/>
      </c>
      <c r="AK41" s="4" t="n"/>
    </row>
    <row r="42">
      <c r="A42" s="4" t="n"/>
      <c r="B42" s="4" t="n"/>
      <c r="C42" s="4" t="n"/>
      <c r="D42" s="4" t="n"/>
      <c r="E42" s="4" t="n"/>
      <c r="F42" s="4" t="n"/>
      <c r="G42" s="4" t="n"/>
      <c r="H42" s="4" t="n"/>
      <c r="I42" s="5" t="n"/>
      <c r="J42" s="5" t="n"/>
      <c r="K42" s="5" t="n"/>
      <c r="L42" s="5" t="n"/>
      <c r="M42" s="5" t="n"/>
      <c r="N42" s="4" t="n"/>
      <c r="O42" s="4" t="n"/>
      <c r="P42" s="20" t="n"/>
      <c r="Q42" s="30" t="n"/>
      <c r="R42" s="21">
        <f>IF($A42="","",ROUND(P42*Q42,2))</f>
        <v/>
      </c>
      <c r="S42" s="5" t="n"/>
      <c r="T42" s="4" t="n"/>
      <c r="U42" s="5" t="n"/>
      <c r="V42" s="21">
        <f>IF($A42="","",ROUND(P42-R42,2))</f>
        <v/>
      </c>
      <c r="W42" s="5" t="n"/>
      <c r="X42" s="4" t="n"/>
      <c r="Y42" s="5" t="n"/>
      <c r="Z42" s="21">
        <f>IF($A42="","",IF(T42="Pagado",N(R42),0)+IF(X42="Pagado",N(V42),0))</f>
        <v/>
      </c>
      <c r="AA42" s="21">
        <f>IF($A42="","",ROUND(N(P42)-N(Z42),2))</f>
        <v/>
      </c>
      <c r="AB42" s="21">
        <f>IF($A42="","",SUMIF('OTROS COMPONENTES'!$A$4:$A$200,$A42,'OTROS COMPONENTES'!$D$4:$D$200))</f>
        <v/>
      </c>
      <c r="AC42" s="21">
        <f>IF($A42="","",SUMIF('OTROS COMPONENTES'!$A$4:$A$200,$A42,'OTROS COMPONENTES'!$E$4:$E$200))</f>
        <v/>
      </c>
      <c r="AD42" s="21">
        <f>IF($A42="","",ROUND(N(AB42)-N(AC42),2))</f>
        <v/>
      </c>
      <c r="AE42" s="21">
        <f>IF($A42="","",ROUND(N(P42)+N(AB42),2))</f>
        <v/>
      </c>
      <c r="AF42" s="21">
        <f>IF($A42="","",ROUND(N(Z42)+N(AC42),2))</f>
        <v/>
      </c>
      <c r="AG42" s="21">
        <f>IF($A42="","",ROUND(N(AA42)+N(AD42),2))</f>
        <v/>
      </c>
      <c r="AH42" s="9">
        <f>IF($A42="","",IF(OR($H42="Por confirmar",$H42="Cerrado"),"No","Sí"))</f>
        <v/>
      </c>
      <c r="AI42" s="21">
        <f>IF($A42="","",IF(AH42="No",0,IF(RESUMEN!$B$4="Saldo por pagar al fabricante",AA42,IF(RESUMEN!$B$4="Monto completo del pedido",P42,IF(OR($H42="Embarcando",$H42="Embarcado"),N(AA42),N(P42))))))</f>
        <v/>
      </c>
      <c r="AJ42" s="9">
        <f>IF($A42="","",IF(COUNTIF($A$4:$A$200,$A42)&gt;1,"ID_Pedido repetido",IF(N($P42)&lt;=0,"Falta el costo del fabricante",IF($F42="","Falta el proyecto",IF($G42="","Falta el cliente",IF(AND($H42&lt;&gt;"Por confirmar",N($R42)&gt;0,$T42=""),"Falta el estado del anticipo",IF(AND($H42&lt;&gt;"Por confirmar",N($V42)&gt;0,$X42=""),"Falta el estado del balance",IF($E42&gt;1,""&amp;$E42&amp;" equipos en una fila: pártela en una por proyecto",IF(AND($X42="Pendiente",N($V42)&gt;0,$W42=""),"Falta la fecha en que vence el balance",IF(AND($H42&lt;&gt;"Por confirmar",$H42&lt;&gt;"Cerrado",$AI42=0),"Consume 0 de cupo pero no está Por confirmar",""))))))))))</f>
        <v/>
      </c>
      <c r="AK42" s="4" t="n"/>
    </row>
    <row r="43">
      <c r="A43" s="4" t="n"/>
      <c r="B43" s="4" t="n"/>
      <c r="C43" s="4" t="n"/>
      <c r="D43" s="4" t="n"/>
      <c r="E43" s="4" t="n"/>
      <c r="F43" s="4" t="n"/>
      <c r="G43" s="4" t="n"/>
      <c r="H43" s="4" t="n"/>
      <c r="I43" s="5" t="n"/>
      <c r="J43" s="5" t="n"/>
      <c r="K43" s="5" t="n"/>
      <c r="L43" s="5" t="n"/>
      <c r="M43" s="5" t="n"/>
      <c r="N43" s="4" t="n"/>
      <c r="O43" s="4" t="n"/>
      <c r="P43" s="20" t="n"/>
      <c r="Q43" s="30" t="n"/>
      <c r="R43" s="21">
        <f>IF($A43="","",ROUND(P43*Q43,2))</f>
        <v/>
      </c>
      <c r="S43" s="5" t="n"/>
      <c r="T43" s="4" t="n"/>
      <c r="U43" s="5" t="n"/>
      <c r="V43" s="21">
        <f>IF($A43="","",ROUND(P43-R43,2))</f>
        <v/>
      </c>
      <c r="W43" s="5" t="n"/>
      <c r="X43" s="4" t="n"/>
      <c r="Y43" s="5" t="n"/>
      <c r="Z43" s="21">
        <f>IF($A43="","",IF(T43="Pagado",N(R43),0)+IF(X43="Pagado",N(V43),0))</f>
        <v/>
      </c>
      <c r="AA43" s="21">
        <f>IF($A43="","",ROUND(N(P43)-N(Z43),2))</f>
        <v/>
      </c>
      <c r="AB43" s="21">
        <f>IF($A43="","",SUMIF('OTROS COMPONENTES'!$A$4:$A$200,$A43,'OTROS COMPONENTES'!$D$4:$D$200))</f>
        <v/>
      </c>
      <c r="AC43" s="21">
        <f>IF($A43="","",SUMIF('OTROS COMPONENTES'!$A$4:$A$200,$A43,'OTROS COMPONENTES'!$E$4:$E$200))</f>
        <v/>
      </c>
      <c r="AD43" s="21">
        <f>IF($A43="","",ROUND(N(AB43)-N(AC43),2))</f>
        <v/>
      </c>
      <c r="AE43" s="21">
        <f>IF($A43="","",ROUND(N(P43)+N(AB43),2))</f>
        <v/>
      </c>
      <c r="AF43" s="21">
        <f>IF($A43="","",ROUND(N(Z43)+N(AC43),2))</f>
        <v/>
      </c>
      <c r="AG43" s="21">
        <f>IF($A43="","",ROUND(N(AA43)+N(AD43),2))</f>
        <v/>
      </c>
      <c r="AH43" s="9">
        <f>IF($A43="","",IF(OR($H43="Por confirmar",$H43="Cerrado"),"No","Sí"))</f>
        <v/>
      </c>
      <c r="AI43" s="21">
        <f>IF($A43="","",IF(AH43="No",0,IF(RESUMEN!$B$4="Saldo por pagar al fabricante",AA43,IF(RESUMEN!$B$4="Monto completo del pedido",P43,IF(OR($H43="Embarcando",$H43="Embarcado"),N(AA43),N(P43))))))</f>
        <v/>
      </c>
      <c r="AJ43" s="9">
        <f>IF($A43="","",IF(COUNTIF($A$4:$A$200,$A43)&gt;1,"ID_Pedido repetido",IF(N($P43)&lt;=0,"Falta el costo del fabricante",IF($F43="","Falta el proyecto",IF($G43="","Falta el cliente",IF(AND($H43&lt;&gt;"Por confirmar",N($R43)&gt;0,$T43=""),"Falta el estado del anticipo",IF(AND($H43&lt;&gt;"Por confirmar",N($V43)&gt;0,$X43=""),"Falta el estado del balance",IF($E43&gt;1,""&amp;$E43&amp;" equipos en una fila: pártela en una por proyecto",IF(AND($X43="Pendiente",N($V43)&gt;0,$W43=""),"Falta la fecha en que vence el balance",IF(AND($H43&lt;&gt;"Por confirmar",$H43&lt;&gt;"Cerrado",$AI43=0),"Consume 0 de cupo pero no está Por confirmar",""))))))))))</f>
        <v/>
      </c>
      <c r="AK43" s="4" t="n"/>
    </row>
    <row r="44">
      <c r="A44" s="4" t="n"/>
      <c r="B44" s="4" t="n"/>
      <c r="C44" s="4" t="n"/>
      <c r="D44" s="4" t="n"/>
      <c r="E44" s="4" t="n"/>
      <c r="F44" s="4" t="n"/>
      <c r="G44" s="4" t="n"/>
      <c r="H44" s="4" t="n"/>
      <c r="I44" s="5" t="n"/>
      <c r="J44" s="5" t="n"/>
      <c r="K44" s="5" t="n"/>
      <c r="L44" s="5" t="n"/>
      <c r="M44" s="5" t="n"/>
      <c r="N44" s="4" t="n"/>
      <c r="O44" s="4" t="n"/>
      <c r="P44" s="20" t="n"/>
      <c r="Q44" s="30" t="n"/>
      <c r="R44" s="21">
        <f>IF($A44="","",ROUND(P44*Q44,2))</f>
        <v/>
      </c>
      <c r="S44" s="5" t="n"/>
      <c r="T44" s="4" t="n"/>
      <c r="U44" s="5" t="n"/>
      <c r="V44" s="21">
        <f>IF($A44="","",ROUND(P44-R44,2))</f>
        <v/>
      </c>
      <c r="W44" s="5" t="n"/>
      <c r="X44" s="4" t="n"/>
      <c r="Y44" s="5" t="n"/>
      <c r="Z44" s="21">
        <f>IF($A44="","",IF(T44="Pagado",N(R44),0)+IF(X44="Pagado",N(V44),0))</f>
        <v/>
      </c>
      <c r="AA44" s="21">
        <f>IF($A44="","",ROUND(N(P44)-N(Z44),2))</f>
        <v/>
      </c>
      <c r="AB44" s="21">
        <f>IF($A44="","",SUMIF('OTROS COMPONENTES'!$A$4:$A$200,$A44,'OTROS COMPONENTES'!$D$4:$D$200))</f>
        <v/>
      </c>
      <c r="AC44" s="21">
        <f>IF($A44="","",SUMIF('OTROS COMPONENTES'!$A$4:$A$200,$A44,'OTROS COMPONENTES'!$E$4:$E$200))</f>
        <v/>
      </c>
      <c r="AD44" s="21">
        <f>IF($A44="","",ROUND(N(AB44)-N(AC44),2))</f>
        <v/>
      </c>
      <c r="AE44" s="21">
        <f>IF($A44="","",ROUND(N(P44)+N(AB44),2))</f>
        <v/>
      </c>
      <c r="AF44" s="21">
        <f>IF($A44="","",ROUND(N(Z44)+N(AC44),2))</f>
        <v/>
      </c>
      <c r="AG44" s="21">
        <f>IF($A44="","",ROUND(N(AA44)+N(AD44),2))</f>
        <v/>
      </c>
      <c r="AH44" s="9">
        <f>IF($A44="","",IF(OR($H44="Por confirmar",$H44="Cerrado"),"No","Sí"))</f>
        <v/>
      </c>
      <c r="AI44" s="21">
        <f>IF($A44="","",IF(AH44="No",0,IF(RESUMEN!$B$4="Saldo por pagar al fabricante",AA44,IF(RESUMEN!$B$4="Monto completo del pedido",P44,IF(OR($H44="Embarcando",$H44="Embarcado"),N(AA44),N(P44))))))</f>
        <v/>
      </c>
      <c r="AJ44" s="9">
        <f>IF($A44="","",IF(COUNTIF($A$4:$A$200,$A44)&gt;1,"ID_Pedido repetido",IF(N($P44)&lt;=0,"Falta el costo del fabricante",IF($F44="","Falta el proyecto",IF($G44="","Falta el cliente",IF(AND($H44&lt;&gt;"Por confirmar",N($R44)&gt;0,$T44=""),"Falta el estado del anticipo",IF(AND($H44&lt;&gt;"Por confirmar",N($V44)&gt;0,$X44=""),"Falta el estado del balance",IF($E44&gt;1,""&amp;$E44&amp;" equipos en una fila: pártela en una por proyecto",IF(AND($X44="Pendiente",N($V44)&gt;0,$W44=""),"Falta la fecha en que vence el balance",IF(AND($H44&lt;&gt;"Por confirmar",$H44&lt;&gt;"Cerrado",$AI44=0),"Consume 0 de cupo pero no está Por confirmar",""))))))))))</f>
        <v/>
      </c>
      <c r="AK44" s="4" t="n"/>
    </row>
    <row r="45">
      <c r="A45" s="4" t="n"/>
      <c r="B45" s="4" t="n"/>
      <c r="C45" s="4" t="n"/>
      <c r="D45" s="4" t="n"/>
      <c r="E45" s="4" t="n"/>
      <c r="F45" s="4" t="n"/>
      <c r="G45" s="4" t="n"/>
      <c r="H45" s="4" t="n"/>
      <c r="I45" s="5" t="n"/>
      <c r="J45" s="5" t="n"/>
      <c r="K45" s="5" t="n"/>
      <c r="L45" s="5" t="n"/>
      <c r="M45" s="5" t="n"/>
      <c r="N45" s="4" t="n"/>
      <c r="O45" s="4" t="n"/>
      <c r="P45" s="20" t="n"/>
      <c r="Q45" s="30" t="n"/>
      <c r="R45" s="21">
        <f>IF($A45="","",ROUND(P45*Q45,2))</f>
        <v/>
      </c>
      <c r="S45" s="5" t="n"/>
      <c r="T45" s="4" t="n"/>
      <c r="U45" s="5" t="n"/>
      <c r="V45" s="21">
        <f>IF($A45="","",ROUND(P45-R45,2))</f>
        <v/>
      </c>
      <c r="W45" s="5" t="n"/>
      <c r="X45" s="4" t="n"/>
      <c r="Y45" s="5" t="n"/>
      <c r="Z45" s="21">
        <f>IF($A45="","",IF(T45="Pagado",N(R45),0)+IF(X45="Pagado",N(V45),0))</f>
        <v/>
      </c>
      <c r="AA45" s="21">
        <f>IF($A45="","",ROUND(N(P45)-N(Z45),2))</f>
        <v/>
      </c>
      <c r="AB45" s="21">
        <f>IF($A45="","",SUMIF('OTROS COMPONENTES'!$A$4:$A$200,$A45,'OTROS COMPONENTES'!$D$4:$D$200))</f>
        <v/>
      </c>
      <c r="AC45" s="21">
        <f>IF($A45="","",SUMIF('OTROS COMPONENTES'!$A$4:$A$200,$A45,'OTROS COMPONENTES'!$E$4:$E$200))</f>
        <v/>
      </c>
      <c r="AD45" s="21">
        <f>IF($A45="","",ROUND(N(AB45)-N(AC45),2))</f>
        <v/>
      </c>
      <c r="AE45" s="21">
        <f>IF($A45="","",ROUND(N(P45)+N(AB45),2))</f>
        <v/>
      </c>
      <c r="AF45" s="21">
        <f>IF($A45="","",ROUND(N(Z45)+N(AC45),2))</f>
        <v/>
      </c>
      <c r="AG45" s="21">
        <f>IF($A45="","",ROUND(N(AA45)+N(AD45),2))</f>
        <v/>
      </c>
      <c r="AH45" s="9">
        <f>IF($A45="","",IF(OR($H45="Por confirmar",$H45="Cerrado"),"No","Sí"))</f>
        <v/>
      </c>
      <c r="AI45" s="21">
        <f>IF($A45="","",IF(AH45="No",0,IF(RESUMEN!$B$4="Saldo por pagar al fabricante",AA45,IF(RESUMEN!$B$4="Monto completo del pedido",P45,IF(OR($H45="Embarcando",$H45="Embarcado"),N(AA45),N(P45))))))</f>
        <v/>
      </c>
      <c r="AJ45" s="9">
        <f>IF($A45="","",IF(COUNTIF($A$4:$A$200,$A45)&gt;1,"ID_Pedido repetido",IF(N($P45)&lt;=0,"Falta el costo del fabricante",IF($F45="","Falta el proyecto",IF($G45="","Falta el cliente",IF(AND($H45&lt;&gt;"Por confirmar",N($R45)&gt;0,$T45=""),"Falta el estado del anticipo",IF(AND($H45&lt;&gt;"Por confirmar",N($V45)&gt;0,$X45=""),"Falta el estado del balance",IF($E45&gt;1,""&amp;$E45&amp;" equipos en una fila: pártela en una por proyecto",IF(AND($X45="Pendiente",N($V45)&gt;0,$W45=""),"Falta la fecha en que vence el balance",IF(AND($H45&lt;&gt;"Por confirmar",$H45&lt;&gt;"Cerrado",$AI45=0),"Consume 0 de cupo pero no está Por confirmar",""))))))))))</f>
        <v/>
      </c>
      <c r="AK45" s="4" t="n"/>
    </row>
    <row r="46">
      <c r="A46" s="4" t="n"/>
      <c r="B46" s="4" t="n"/>
      <c r="C46" s="4" t="n"/>
      <c r="D46" s="4" t="n"/>
      <c r="E46" s="4" t="n"/>
      <c r="F46" s="4" t="n"/>
      <c r="G46" s="4" t="n"/>
      <c r="H46" s="4" t="n"/>
      <c r="I46" s="5" t="n"/>
      <c r="J46" s="5" t="n"/>
      <c r="K46" s="5" t="n"/>
      <c r="L46" s="5" t="n"/>
      <c r="M46" s="5" t="n"/>
      <c r="N46" s="4" t="n"/>
      <c r="O46" s="4" t="n"/>
      <c r="P46" s="20" t="n"/>
      <c r="Q46" s="30" t="n"/>
      <c r="R46" s="21">
        <f>IF($A46="","",ROUND(P46*Q46,2))</f>
        <v/>
      </c>
      <c r="S46" s="5" t="n"/>
      <c r="T46" s="4" t="n"/>
      <c r="U46" s="5" t="n"/>
      <c r="V46" s="21">
        <f>IF($A46="","",ROUND(P46-R46,2))</f>
        <v/>
      </c>
      <c r="W46" s="5" t="n"/>
      <c r="X46" s="4" t="n"/>
      <c r="Y46" s="5" t="n"/>
      <c r="Z46" s="21">
        <f>IF($A46="","",IF(T46="Pagado",N(R46),0)+IF(X46="Pagado",N(V46),0))</f>
        <v/>
      </c>
      <c r="AA46" s="21">
        <f>IF($A46="","",ROUND(N(P46)-N(Z46),2))</f>
        <v/>
      </c>
      <c r="AB46" s="21">
        <f>IF($A46="","",SUMIF('OTROS COMPONENTES'!$A$4:$A$200,$A46,'OTROS COMPONENTES'!$D$4:$D$200))</f>
        <v/>
      </c>
      <c r="AC46" s="21">
        <f>IF($A46="","",SUMIF('OTROS COMPONENTES'!$A$4:$A$200,$A46,'OTROS COMPONENTES'!$E$4:$E$200))</f>
        <v/>
      </c>
      <c r="AD46" s="21">
        <f>IF($A46="","",ROUND(N(AB46)-N(AC46),2))</f>
        <v/>
      </c>
      <c r="AE46" s="21">
        <f>IF($A46="","",ROUND(N(P46)+N(AB46),2))</f>
        <v/>
      </c>
      <c r="AF46" s="21">
        <f>IF($A46="","",ROUND(N(Z46)+N(AC46),2))</f>
        <v/>
      </c>
      <c r="AG46" s="21">
        <f>IF($A46="","",ROUND(N(AA46)+N(AD46),2))</f>
        <v/>
      </c>
      <c r="AH46" s="9">
        <f>IF($A46="","",IF(OR($H46="Por confirmar",$H46="Cerrado"),"No","Sí"))</f>
        <v/>
      </c>
      <c r="AI46" s="21">
        <f>IF($A46="","",IF(AH46="No",0,IF(RESUMEN!$B$4="Saldo por pagar al fabricante",AA46,IF(RESUMEN!$B$4="Monto completo del pedido",P46,IF(OR($H46="Embarcando",$H46="Embarcado"),N(AA46),N(P46))))))</f>
        <v/>
      </c>
      <c r="AJ46" s="9">
        <f>IF($A46="","",IF(COUNTIF($A$4:$A$200,$A46)&gt;1,"ID_Pedido repetido",IF(N($P46)&lt;=0,"Falta el costo del fabricante",IF($F46="","Falta el proyecto",IF($G46="","Falta el cliente",IF(AND($H46&lt;&gt;"Por confirmar",N($R46)&gt;0,$T46=""),"Falta el estado del anticipo",IF(AND($H46&lt;&gt;"Por confirmar",N($V46)&gt;0,$X46=""),"Falta el estado del balance",IF($E46&gt;1,""&amp;$E46&amp;" equipos en una fila: pártela en una por proyecto",IF(AND($X46="Pendiente",N($V46)&gt;0,$W46=""),"Falta la fecha en que vence el balance",IF(AND($H46&lt;&gt;"Por confirmar",$H46&lt;&gt;"Cerrado",$AI46=0),"Consume 0 de cupo pero no está Por confirmar",""))))))))))</f>
        <v/>
      </c>
      <c r="AK46" s="4" t="n"/>
    </row>
    <row r="47">
      <c r="A47" s="4" t="n"/>
      <c r="B47" s="4" t="n"/>
      <c r="C47" s="4" t="n"/>
      <c r="D47" s="4" t="n"/>
      <c r="E47" s="4" t="n"/>
      <c r="F47" s="4" t="n"/>
      <c r="G47" s="4" t="n"/>
      <c r="H47" s="4" t="n"/>
      <c r="I47" s="5" t="n"/>
      <c r="J47" s="5" t="n"/>
      <c r="K47" s="5" t="n"/>
      <c r="L47" s="5" t="n"/>
      <c r="M47" s="5" t="n"/>
      <c r="N47" s="4" t="n"/>
      <c r="O47" s="4" t="n"/>
      <c r="P47" s="20" t="n"/>
      <c r="Q47" s="30" t="n"/>
      <c r="R47" s="21">
        <f>IF($A47="","",ROUND(P47*Q47,2))</f>
        <v/>
      </c>
      <c r="S47" s="5" t="n"/>
      <c r="T47" s="4" t="n"/>
      <c r="U47" s="5" t="n"/>
      <c r="V47" s="21">
        <f>IF($A47="","",ROUND(P47-R47,2))</f>
        <v/>
      </c>
      <c r="W47" s="5" t="n"/>
      <c r="X47" s="4" t="n"/>
      <c r="Y47" s="5" t="n"/>
      <c r="Z47" s="21">
        <f>IF($A47="","",IF(T47="Pagado",N(R47),0)+IF(X47="Pagado",N(V47),0))</f>
        <v/>
      </c>
      <c r="AA47" s="21">
        <f>IF($A47="","",ROUND(N(P47)-N(Z47),2))</f>
        <v/>
      </c>
      <c r="AB47" s="21">
        <f>IF($A47="","",SUMIF('OTROS COMPONENTES'!$A$4:$A$200,$A47,'OTROS COMPONENTES'!$D$4:$D$200))</f>
        <v/>
      </c>
      <c r="AC47" s="21">
        <f>IF($A47="","",SUMIF('OTROS COMPONENTES'!$A$4:$A$200,$A47,'OTROS COMPONENTES'!$E$4:$E$200))</f>
        <v/>
      </c>
      <c r="AD47" s="21">
        <f>IF($A47="","",ROUND(N(AB47)-N(AC47),2))</f>
        <v/>
      </c>
      <c r="AE47" s="21">
        <f>IF($A47="","",ROUND(N(P47)+N(AB47),2))</f>
        <v/>
      </c>
      <c r="AF47" s="21">
        <f>IF($A47="","",ROUND(N(Z47)+N(AC47),2))</f>
        <v/>
      </c>
      <c r="AG47" s="21">
        <f>IF($A47="","",ROUND(N(AA47)+N(AD47),2))</f>
        <v/>
      </c>
      <c r="AH47" s="9">
        <f>IF($A47="","",IF(OR($H47="Por confirmar",$H47="Cerrado"),"No","Sí"))</f>
        <v/>
      </c>
      <c r="AI47" s="21">
        <f>IF($A47="","",IF(AH47="No",0,IF(RESUMEN!$B$4="Saldo por pagar al fabricante",AA47,IF(RESUMEN!$B$4="Monto completo del pedido",P47,IF(OR($H47="Embarcando",$H47="Embarcado"),N(AA47),N(P47))))))</f>
        <v/>
      </c>
      <c r="AJ47" s="9">
        <f>IF($A47="","",IF(COUNTIF($A$4:$A$200,$A47)&gt;1,"ID_Pedido repetido",IF(N($P47)&lt;=0,"Falta el costo del fabricante",IF($F47="","Falta el proyecto",IF($G47="","Falta el cliente",IF(AND($H47&lt;&gt;"Por confirmar",N($R47)&gt;0,$T47=""),"Falta el estado del anticipo",IF(AND($H47&lt;&gt;"Por confirmar",N($V47)&gt;0,$X47=""),"Falta el estado del balance",IF($E47&gt;1,""&amp;$E47&amp;" equipos en una fila: pártela en una por proyecto",IF(AND($X47="Pendiente",N($V47)&gt;0,$W47=""),"Falta la fecha en que vence el balance",IF(AND($H47&lt;&gt;"Por confirmar",$H47&lt;&gt;"Cerrado",$AI47=0),"Consume 0 de cupo pero no está Por confirmar",""))))))))))</f>
        <v/>
      </c>
      <c r="AK47" s="4" t="n"/>
    </row>
    <row r="48">
      <c r="A48" s="4" t="n"/>
      <c r="B48" s="4" t="n"/>
      <c r="C48" s="4" t="n"/>
      <c r="D48" s="4" t="n"/>
      <c r="E48" s="4" t="n"/>
      <c r="F48" s="4" t="n"/>
      <c r="G48" s="4" t="n"/>
      <c r="H48" s="4" t="n"/>
      <c r="I48" s="5" t="n"/>
      <c r="J48" s="5" t="n"/>
      <c r="K48" s="5" t="n"/>
      <c r="L48" s="5" t="n"/>
      <c r="M48" s="5" t="n"/>
      <c r="N48" s="4" t="n"/>
      <c r="O48" s="4" t="n"/>
      <c r="P48" s="20" t="n"/>
      <c r="Q48" s="30" t="n"/>
      <c r="R48" s="21">
        <f>IF($A48="","",ROUND(P48*Q48,2))</f>
        <v/>
      </c>
      <c r="S48" s="5" t="n"/>
      <c r="T48" s="4" t="n"/>
      <c r="U48" s="5" t="n"/>
      <c r="V48" s="21">
        <f>IF($A48="","",ROUND(P48-R48,2))</f>
        <v/>
      </c>
      <c r="W48" s="5" t="n"/>
      <c r="X48" s="4" t="n"/>
      <c r="Y48" s="5" t="n"/>
      <c r="Z48" s="21">
        <f>IF($A48="","",IF(T48="Pagado",N(R48),0)+IF(X48="Pagado",N(V48),0))</f>
        <v/>
      </c>
      <c r="AA48" s="21">
        <f>IF($A48="","",ROUND(N(P48)-N(Z48),2))</f>
        <v/>
      </c>
      <c r="AB48" s="21">
        <f>IF($A48="","",SUMIF('OTROS COMPONENTES'!$A$4:$A$200,$A48,'OTROS COMPONENTES'!$D$4:$D$200))</f>
        <v/>
      </c>
      <c r="AC48" s="21">
        <f>IF($A48="","",SUMIF('OTROS COMPONENTES'!$A$4:$A$200,$A48,'OTROS COMPONENTES'!$E$4:$E$200))</f>
        <v/>
      </c>
      <c r="AD48" s="21">
        <f>IF($A48="","",ROUND(N(AB48)-N(AC48),2))</f>
        <v/>
      </c>
      <c r="AE48" s="21">
        <f>IF($A48="","",ROUND(N(P48)+N(AB48),2))</f>
        <v/>
      </c>
      <c r="AF48" s="21">
        <f>IF($A48="","",ROUND(N(Z48)+N(AC48),2))</f>
        <v/>
      </c>
      <c r="AG48" s="21">
        <f>IF($A48="","",ROUND(N(AA48)+N(AD48),2))</f>
        <v/>
      </c>
      <c r="AH48" s="9">
        <f>IF($A48="","",IF(OR($H48="Por confirmar",$H48="Cerrado"),"No","Sí"))</f>
        <v/>
      </c>
      <c r="AI48" s="21">
        <f>IF($A48="","",IF(AH48="No",0,IF(RESUMEN!$B$4="Saldo por pagar al fabricante",AA48,IF(RESUMEN!$B$4="Monto completo del pedido",P48,IF(OR($H48="Embarcando",$H48="Embarcado"),N(AA48),N(P48))))))</f>
        <v/>
      </c>
      <c r="AJ48" s="9">
        <f>IF($A48="","",IF(COUNTIF($A$4:$A$200,$A48)&gt;1,"ID_Pedido repetido",IF(N($P48)&lt;=0,"Falta el costo del fabricante",IF($F48="","Falta el proyecto",IF($G48="","Falta el cliente",IF(AND($H48&lt;&gt;"Por confirmar",N($R48)&gt;0,$T48=""),"Falta el estado del anticipo",IF(AND($H48&lt;&gt;"Por confirmar",N($V48)&gt;0,$X48=""),"Falta el estado del balance",IF($E48&gt;1,""&amp;$E48&amp;" equipos en una fila: pártela en una por proyecto",IF(AND($X48="Pendiente",N($V48)&gt;0,$W48=""),"Falta la fecha en que vence el balance",IF(AND($H48&lt;&gt;"Por confirmar",$H48&lt;&gt;"Cerrado",$AI48=0),"Consume 0 de cupo pero no está Por confirmar",""))))))))))</f>
        <v/>
      </c>
      <c r="AK48" s="4" t="n"/>
    </row>
    <row r="49">
      <c r="A49" s="4" t="n"/>
      <c r="B49" s="4" t="n"/>
      <c r="C49" s="4" t="n"/>
      <c r="D49" s="4" t="n"/>
      <c r="E49" s="4" t="n"/>
      <c r="F49" s="4" t="n"/>
      <c r="G49" s="4" t="n"/>
      <c r="H49" s="4" t="n"/>
      <c r="I49" s="5" t="n"/>
      <c r="J49" s="5" t="n"/>
      <c r="K49" s="5" t="n"/>
      <c r="L49" s="5" t="n"/>
      <c r="M49" s="5" t="n"/>
      <c r="N49" s="4" t="n"/>
      <c r="O49" s="4" t="n"/>
      <c r="P49" s="20" t="n"/>
      <c r="Q49" s="30" t="n"/>
      <c r="R49" s="21">
        <f>IF($A49="","",ROUND(P49*Q49,2))</f>
        <v/>
      </c>
      <c r="S49" s="5" t="n"/>
      <c r="T49" s="4" t="n"/>
      <c r="U49" s="5" t="n"/>
      <c r="V49" s="21">
        <f>IF($A49="","",ROUND(P49-R49,2))</f>
        <v/>
      </c>
      <c r="W49" s="5" t="n"/>
      <c r="X49" s="4" t="n"/>
      <c r="Y49" s="5" t="n"/>
      <c r="Z49" s="21">
        <f>IF($A49="","",IF(T49="Pagado",N(R49),0)+IF(X49="Pagado",N(V49),0))</f>
        <v/>
      </c>
      <c r="AA49" s="21">
        <f>IF($A49="","",ROUND(N(P49)-N(Z49),2))</f>
        <v/>
      </c>
      <c r="AB49" s="21">
        <f>IF($A49="","",SUMIF('OTROS COMPONENTES'!$A$4:$A$200,$A49,'OTROS COMPONENTES'!$D$4:$D$200))</f>
        <v/>
      </c>
      <c r="AC49" s="21">
        <f>IF($A49="","",SUMIF('OTROS COMPONENTES'!$A$4:$A$200,$A49,'OTROS COMPONENTES'!$E$4:$E$200))</f>
        <v/>
      </c>
      <c r="AD49" s="21">
        <f>IF($A49="","",ROUND(N(AB49)-N(AC49),2))</f>
        <v/>
      </c>
      <c r="AE49" s="21">
        <f>IF($A49="","",ROUND(N(P49)+N(AB49),2))</f>
        <v/>
      </c>
      <c r="AF49" s="21">
        <f>IF($A49="","",ROUND(N(Z49)+N(AC49),2))</f>
        <v/>
      </c>
      <c r="AG49" s="21">
        <f>IF($A49="","",ROUND(N(AA49)+N(AD49),2))</f>
        <v/>
      </c>
      <c r="AH49" s="9">
        <f>IF($A49="","",IF(OR($H49="Por confirmar",$H49="Cerrado"),"No","Sí"))</f>
        <v/>
      </c>
      <c r="AI49" s="21">
        <f>IF($A49="","",IF(AH49="No",0,IF(RESUMEN!$B$4="Saldo por pagar al fabricante",AA49,IF(RESUMEN!$B$4="Monto completo del pedido",P49,IF(OR($H49="Embarcando",$H49="Embarcado"),N(AA49),N(P49))))))</f>
        <v/>
      </c>
      <c r="AJ49" s="9">
        <f>IF($A49="","",IF(COUNTIF($A$4:$A$200,$A49)&gt;1,"ID_Pedido repetido",IF(N($P49)&lt;=0,"Falta el costo del fabricante",IF($F49="","Falta el proyecto",IF($G49="","Falta el cliente",IF(AND($H49&lt;&gt;"Por confirmar",N($R49)&gt;0,$T49=""),"Falta el estado del anticipo",IF(AND($H49&lt;&gt;"Por confirmar",N($V49)&gt;0,$X49=""),"Falta el estado del balance",IF($E49&gt;1,""&amp;$E49&amp;" equipos en una fila: pártela en una por proyecto",IF(AND($X49="Pendiente",N($V49)&gt;0,$W49=""),"Falta la fecha en que vence el balance",IF(AND($H49&lt;&gt;"Por confirmar",$H49&lt;&gt;"Cerrado",$AI49=0),"Consume 0 de cupo pero no está Por confirmar",""))))))))))</f>
        <v/>
      </c>
      <c r="AK49" s="4" t="n"/>
    </row>
    <row r="50">
      <c r="A50" s="4" t="n"/>
      <c r="B50" s="4" t="n"/>
      <c r="C50" s="4" t="n"/>
      <c r="D50" s="4" t="n"/>
      <c r="E50" s="4" t="n"/>
      <c r="F50" s="4" t="n"/>
      <c r="G50" s="4" t="n"/>
      <c r="H50" s="4" t="n"/>
      <c r="I50" s="5" t="n"/>
      <c r="J50" s="5" t="n"/>
      <c r="K50" s="5" t="n"/>
      <c r="L50" s="5" t="n"/>
      <c r="M50" s="5" t="n"/>
      <c r="N50" s="4" t="n"/>
      <c r="O50" s="4" t="n"/>
      <c r="P50" s="20" t="n"/>
      <c r="Q50" s="30" t="n"/>
      <c r="R50" s="21">
        <f>IF($A50="","",ROUND(P50*Q50,2))</f>
        <v/>
      </c>
      <c r="S50" s="5" t="n"/>
      <c r="T50" s="4" t="n"/>
      <c r="U50" s="5" t="n"/>
      <c r="V50" s="21">
        <f>IF($A50="","",ROUND(P50-R50,2))</f>
        <v/>
      </c>
      <c r="W50" s="5" t="n"/>
      <c r="X50" s="4" t="n"/>
      <c r="Y50" s="5" t="n"/>
      <c r="Z50" s="21">
        <f>IF($A50="","",IF(T50="Pagado",N(R50),0)+IF(X50="Pagado",N(V50),0))</f>
        <v/>
      </c>
      <c r="AA50" s="21">
        <f>IF($A50="","",ROUND(N(P50)-N(Z50),2))</f>
        <v/>
      </c>
      <c r="AB50" s="21">
        <f>IF($A50="","",SUMIF('OTROS COMPONENTES'!$A$4:$A$200,$A50,'OTROS COMPONENTES'!$D$4:$D$200))</f>
        <v/>
      </c>
      <c r="AC50" s="21">
        <f>IF($A50="","",SUMIF('OTROS COMPONENTES'!$A$4:$A$200,$A50,'OTROS COMPONENTES'!$E$4:$E$200))</f>
        <v/>
      </c>
      <c r="AD50" s="21">
        <f>IF($A50="","",ROUND(N(AB50)-N(AC50),2))</f>
        <v/>
      </c>
      <c r="AE50" s="21">
        <f>IF($A50="","",ROUND(N(P50)+N(AB50),2))</f>
        <v/>
      </c>
      <c r="AF50" s="21">
        <f>IF($A50="","",ROUND(N(Z50)+N(AC50),2))</f>
        <v/>
      </c>
      <c r="AG50" s="21">
        <f>IF($A50="","",ROUND(N(AA50)+N(AD50),2))</f>
        <v/>
      </c>
      <c r="AH50" s="9">
        <f>IF($A50="","",IF(OR($H50="Por confirmar",$H50="Cerrado"),"No","Sí"))</f>
        <v/>
      </c>
      <c r="AI50" s="21">
        <f>IF($A50="","",IF(AH50="No",0,IF(RESUMEN!$B$4="Saldo por pagar al fabricante",AA50,IF(RESUMEN!$B$4="Monto completo del pedido",P50,IF(OR($H50="Embarcando",$H50="Embarcado"),N(AA50),N(P50))))))</f>
        <v/>
      </c>
      <c r="AJ50" s="9">
        <f>IF($A50="","",IF(COUNTIF($A$4:$A$200,$A50)&gt;1,"ID_Pedido repetido",IF(N($P50)&lt;=0,"Falta el costo del fabricante",IF($F50="","Falta el proyecto",IF($G50="","Falta el cliente",IF(AND($H50&lt;&gt;"Por confirmar",N($R50)&gt;0,$T50=""),"Falta el estado del anticipo",IF(AND($H50&lt;&gt;"Por confirmar",N($V50)&gt;0,$X50=""),"Falta el estado del balance",IF($E50&gt;1,""&amp;$E50&amp;" equipos en una fila: pártela en una por proyecto",IF(AND($X50="Pendiente",N($V50)&gt;0,$W50=""),"Falta la fecha en que vence el balance",IF(AND($H50&lt;&gt;"Por confirmar",$H50&lt;&gt;"Cerrado",$AI50=0),"Consume 0 de cupo pero no está Por confirmar",""))))))))))</f>
        <v/>
      </c>
      <c r="AK50" s="4" t="n"/>
    </row>
    <row r="51">
      <c r="A51" s="4" t="n"/>
      <c r="B51" s="4" t="n"/>
      <c r="C51" s="4" t="n"/>
      <c r="D51" s="4" t="n"/>
      <c r="E51" s="4" t="n"/>
      <c r="F51" s="4" t="n"/>
      <c r="G51" s="4" t="n"/>
      <c r="H51" s="4" t="n"/>
      <c r="I51" s="5" t="n"/>
      <c r="J51" s="5" t="n"/>
      <c r="K51" s="5" t="n"/>
      <c r="L51" s="5" t="n"/>
      <c r="M51" s="5" t="n"/>
      <c r="N51" s="4" t="n"/>
      <c r="O51" s="4" t="n"/>
      <c r="P51" s="20" t="n"/>
      <c r="Q51" s="30" t="n"/>
      <c r="R51" s="21">
        <f>IF($A51="","",ROUND(P51*Q51,2))</f>
        <v/>
      </c>
      <c r="S51" s="5" t="n"/>
      <c r="T51" s="4" t="n"/>
      <c r="U51" s="5" t="n"/>
      <c r="V51" s="21">
        <f>IF($A51="","",ROUND(P51-R51,2))</f>
        <v/>
      </c>
      <c r="W51" s="5" t="n"/>
      <c r="X51" s="4" t="n"/>
      <c r="Y51" s="5" t="n"/>
      <c r="Z51" s="21">
        <f>IF($A51="","",IF(T51="Pagado",N(R51),0)+IF(X51="Pagado",N(V51),0))</f>
        <v/>
      </c>
      <c r="AA51" s="21">
        <f>IF($A51="","",ROUND(N(P51)-N(Z51),2))</f>
        <v/>
      </c>
      <c r="AB51" s="21">
        <f>IF($A51="","",SUMIF('OTROS COMPONENTES'!$A$4:$A$200,$A51,'OTROS COMPONENTES'!$D$4:$D$200))</f>
        <v/>
      </c>
      <c r="AC51" s="21">
        <f>IF($A51="","",SUMIF('OTROS COMPONENTES'!$A$4:$A$200,$A51,'OTROS COMPONENTES'!$E$4:$E$200))</f>
        <v/>
      </c>
      <c r="AD51" s="21">
        <f>IF($A51="","",ROUND(N(AB51)-N(AC51),2))</f>
        <v/>
      </c>
      <c r="AE51" s="21">
        <f>IF($A51="","",ROUND(N(P51)+N(AB51),2))</f>
        <v/>
      </c>
      <c r="AF51" s="21">
        <f>IF($A51="","",ROUND(N(Z51)+N(AC51),2))</f>
        <v/>
      </c>
      <c r="AG51" s="21">
        <f>IF($A51="","",ROUND(N(AA51)+N(AD51),2))</f>
        <v/>
      </c>
      <c r="AH51" s="9">
        <f>IF($A51="","",IF(OR($H51="Por confirmar",$H51="Cerrado"),"No","Sí"))</f>
        <v/>
      </c>
      <c r="AI51" s="21">
        <f>IF($A51="","",IF(AH51="No",0,IF(RESUMEN!$B$4="Saldo por pagar al fabricante",AA51,IF(RESUMEN!$B$4="Monto completo del pedido",P51,IF(OR($H51="Embarcando",$H51="Embarcado"),N(AA51),N(P51))))))</f>
        <v/>
      </c>
      <c r="AJ51" s="9">
        <f>IF($A51="","",IF(COUNTIF($A$4:$A$200,$A51)&gt;1,"ID_Pedido repetido",IF(N($P51)&lt;=0,"Falta el costo del fabricante",IF($F51="","Falta el proyecto",IF($G51="","Falta el cliente",IF(AND($H51&lt;&gt;"Por confirmar",N($R51)&gt;0,$T51=""),"Falta el estado del anticipo",IF(AND($H51&lt;&gt;"Por confirmar",N($V51)&gt;0,$X51=""),"Falta el estado del balance",IF($E51&gt;1,""&amp;$E51&amp;" equipos en una fila: pártela en una por proyecto",IF(AND($X51="Pendiente",N($V51)&gt;0,$W51=""),"Falta la fecha en que vence el balance",IF(AND($H51&lt;&gt;"Por confirmar",$H51&lt;&gt;"Cerrado",$AI51=0),"Consume 0 de cupo pero no está Por confirmar",""))))))))))</f>
        <v/>
      </c>
      <c r="AK51" s="4" t="n"/>
    </row>
    <row r="52">
      <c r="A52" s="4" t="n"/>
      <c r="B52" s="4" t="n"/>
      <c r="C52" s="4" t="n"/>
      <c r="D52" s="4" t="n"/>
      <c r="E52" s="4" t="n"/>
      <c r="F52" s="4" t="n"/>
      <c r="G52" s="4" t="n"/>
      <c r="H52" s="4" t="n"/>
      <c r="I52" s="5" t="n"/>
      <c r="J52" s="5" t="n"/>
      <c r="K52" s="5" t="n"/>
      <c r="L52" s="5" t="n"/>
      <c r="M52" s="5" t="n"/>
      <c r="N52" s="4" t="n"/>
      <c r="O52" s="4" t="n"/>
      <c r="P52" s="20" t="n"/>
      <c r="Q52" s="30" t="n"/>
      <c r="R52" s="21">
        <f>IF($A52="","",ROUND(P52*Q52,2))</f>
        <v/>
      </c>
      <c r="S52" s="5" t="n"/>
      <c r="T52" s="4" t="n"/>
      <c r="U52" s="5" t="n"/>
      <c r="V52" s="21">
        <f>IF($A52="","",ROUND(P52-R52,2))</f>
        <v/>
      </c>
      <c r="W52" s="5" t="n"/>
      <c r="X52" s="4" t="n"/>
      <c r="Y52" s="5" t="n"/>
      <c r="Z52" s="21">
        <f>IF($A52="","",IF(T52="Pagado",N(R52),0)+IF(X52="Pagado",N(V52),0))</f>
        <v/>
      </c>
      <c r="AA52" s="21">
        <f>IF($A52="","",ROUND(N(P52)-N(Z52),2))</f>
        <v/>
      </c>
      <c r="AB52" s="21">
        <f>IF($A52="","",SUMIF('OTROS COMPONENTES'!$A$4:$A$200,$A52,'OTROS COMPONENTES'!$D$4:$D$200))</f>
        <v/>
      </c>
      <c r="AC52" s="21">
        <f>IF($A52="","",SUMIF('OTROS COMPONENTES'!$A$4:$A$200,$A52,'OTROS COMPONENTES'!$E$4:$E$200))</f>
        <v/>
      </c>
      <c r="AD52" s="21">
        <f>IF($A52="","",ROUND(N(AB52)-N(AC52),2))</f>
        <v/>
      </c>
      <c r="AE52" s="21">
        <f>IF($A52="","",ROUND(N(P52)+N(AB52),2))</f>
        <v/>
      </c>
      <c r="AF52" s="21">
        <f>IF($A52="","",ROUND(N(Z52)+N(AC52),2))</f>
        <v/>
      </c>
      <c r="AG52" s="21">
        <f>IF($A52="","",ROUND(N(AA52)+N(AD52),2))</f>
        <v/>
      </c>
      <c r="AH52" s="9">
        <f>IF($A52="","",IF(OR($H52="Por confirmar",$H52="Cerrado"),"No","Sí"))</f>
        <v/>
      </c>
      <c r="AI52" s="21">
        <f>IF($A52="","",IF(AH52="No",0,IF(RESUMEN!$B$4="Saldo por pagar al fabricante",AA52,IF(RESUMEN!$B$4="Monto completo del pedido",P52,IF(OR($H52="Embarcando",$H52="Embarcado"),N(AA52),N(P52))))))</f>
        <v/>
      </c>
      <c r="AJ52" s="9">
        <f>IF($A52="","",IF(COUNTIF($A$4:$A$200,$A52)&gt;1,"ID_Pedido repetido",IF(N($P52)&lt;=0,"Falta el costo del fabricante",IF($F52="","Falta el proyecto",IF($G52="","Falta el cliente",IF(AND($H52&lt;&gt;"Por confirmar",N($R52)&gt;0,$T52=""),"Falta el estado del anticipo",IF(AND($H52&lt;&gt;"Por confirmar",N($V52)&gt;0,$X52=""),"Falta el estado del balance",IF($E52&gt;1,""&amp;$E52&amp;" equipos en una fila: pártela en una por proyecto",IF(AND($X52="Pendiente",N($V52)&gt;0,$W52=""),"Falta la fecha en que vence el balance",IF(AND($H52&lt;&gt;"Por confirmar",$H52&lt;&gt;"Cerrado",$AI52=0),"Consume 0 de cupo pero no está Por confirmar",""))))))))))</f>
        <v/>
      </c>
      <c r="AK52" s="4" t="n"/>
    </row>
    <row r="53">
      <c r="A53" s="4" t="n"/>
      <c r="B53" s="4" t="n"/>
      <c r="C53" s="4" t="n"/>
      <c r="D53" s="4" t="n"/>
      <c r="E53" s="4" t="n"/>
      <c r="F53" s="4" t="n"/>
      <c r="G53" s="4" t="n"/>
      <c r="H53" s="4" t="n"/>
      <c r="I53" s="5" t="n"/>
      <c r="J53" s="5" t="n"/>
      <c r="K53" s="5" t="n"/>
      <c r="L53" s="5" t="n"/>
      <c r="M53" s="5" t="n"/>
      <c r="N53" s="4" t="n"/>
      <c r="O53" s="4" t="n"/>
      <c r="P53" s="20" t="n"/>
      <c r="Q53" s="30" t="n"/>
      <c r="R53" s="21">
        <f>IF($A53="","",ROUND(P53*Q53,2))</f>
        <v/>
      </c>
      <c r="S53" s="5" t="n"/>
      <c r="T53" s="4" t="n"/>
      <c r="U53" s="5" t="n"/>
      <c r="V53" s="21">
        <f>IF($A53="","",ROUND(P53-R53,2))</f>
        <v/>
      </c>
      <c r="W53" s="5" t="n"/>
      <c r="X53" s="4" t="n"/>
      <c r="Y53" s="5" t="n"/>
      <c r="Z53" s="21">
        <f>IF($A53="","",IF(T53="Pagado",N(R53),0)+IF(X53="Pagado",N(V53),0))</f>
        <v/>
      </c>
      <c r="AA53" s="21">
        <f>IF($A53="","",ROUND(N(P53)-N(Z53),2))</f>
        <v/>
      </c>
      <c r="AB53" s="21">
        <f>IF($A53="","",SUMIF('OTROS COMPONENTES'!$A$4:$A$200,$A53,'OTROS COMPONENTES'!$D$4:$D$200))</f>
        <v/>
      </c>
      <c r="AC53" s="21">
        <f>IF($A53="","",SUMIF('OTROS COMPONENTES'!$A$4:$A$200,$A53,'OTROS COMPONENTES'!$E$4:$E$200))</f>
        <v/>
      </c>
      <c r="AD53" s="21">
        <f>IF($A53="","",ROUND(N(AB53)-N(AC53),2))</f>
        <v/>
      </c>
      <c r="AE53" s="21">
        <f>IF($A53="","",ROUND(N(P53)+N(AB53),2))</f>
        <v/>
      </c>
      <c r="AF53" s="21">
        <f>IF($A53="","",ROUND(N(Z53)+N(AC53),2))</f>
        <v/>
      </c>
      <c r="AG53" s="21">
        <f>IF($A53="","",ROUND(N(AA53)+N(AD53),2))</f>
        <v/>
      </c>
      <c r="AH53" s="9">
        <f>IF($A53="","",IF(OR($H53="Por confirmar",$H53="Cerrado"),"No","Sí"))</f>
        <v/>
      </c>
      <c r="AI53" s="21">
        <f>IF($A53="","",IF(AH53="No",0,IF(RESUMEN!$B$4="Saldo por pagar al fabricante",AA53,IF(RESUMEN!$B$4="Monto completo del pedido",P53,IF(OR($H53="Embarcando",$H53="Embarcado"),N(AA53),N(P53))))))</f>
        <v/>
      </c>
      <c r="AJ53" s="9">
        <f>IF($A53="","",IF(COUNTIF($A$4:$A$200,$A53)&gt;1,"ID_Pedido repetido",IF(N($P53)&lt;=0,"Falta el costo del fabricante",IF($F53="","Falta el proyecto",IF($G53="","Falta el cliente",IF(AND($H53&lt;&gt;"Por confirmar",N($R53)&gt;0,$T53=""),"Falta el estado del anticipo",IF(AND($H53&lt;&gt;"Por confirmar",N($V53)&gt;0,$X53=""),"Falta el estado del balance",IF($E53&gt;1,""&amp;$E53&amp;" equipos en una fila: pártela en una por proyecto",IF(AND($X53="Pendiente",N($V53)&gt;0,$W53=""),"Falta la fecha en que vence el balance",IF(AND($H53&lt;&gt;"Por confirmar",$H53&lt;&gt;"Cerrado",$AI53=0),"Consume 0 de cupo pero no está Por confirmar",""))))))))))</f>
        <v/>
      </c>
      <c r="AK53" s="4" t="n"/>
    </row>
    <row r="54">
      <c r="A54" s="4" t="n"/>
      <c r="B54" s="4" t="n"/>
      <c r="C54" s="4" t="n"/>
      <c r="D54" s="4" t="n"/>
      <c r="E54" s="4" t="n"/>
      <c r="F54" s="4" t="n"/>
      <c r="G54" s="4" t="n"/>
      <c r="H54" s="4" t="n"/>
      <c r="I54" s="5" t="n"/>
      <c r="J54" s="5" t="n"/>
      <c r="K54" s="5" t="n"/>
      <c r="L54" s="5" t="n"/>
      <c r="M54" s="5" t="n"/>
      <c r="N54" s="4" t="n"/>
      <c r="O54" s="4" t="n"/>
      <c r="P54" s="20" t="n"/>
      <c r="Q54" s="30" t="n"/>
      <c r="R54" s="21">
        <f>IF($A54="","",ROUND(P54*Q54,2))</f>
        <v/>
      </c>
      <c r="S54" s="5" t="n"/>
      <c r="T54" s="4" t="n"/>
      <c r="U54" s="5" t="n"/>
      <c r="V54" s="21">
        <f>IF($A54="","",ROUND(P54-R54,2))</f>
        <v/>
      </c>
      <c r="W54" s="5" t="n"/>
      <c r="X54" s="4" t="n"/>
      <c r="Y54" s="5" t="n"/>
      <c r="Z54" s="21">
        <f>IF($A54="","",IF(T54="Pagado",N(R54),0)+IF(X54="Pagado",N(V54),0))</f>
        <v/>
      </c>
      <c r="AA54" s="21">
        <f>IF($A54="","",ROUND(N(P54)-N(Z54),2))</f>
        <v/>
      </c>
      <c r="AB54" s="21">
        <f>IF($A54="","",SUMIF('OTROS COMPONENTES'!$A$4:$A$200,$A54,'OTROS COMPONENTES'!$D$4:$D$200))</f>
        <v/>
      </c>
      <c r="AC54" s="21">
        <f>IF($A54="","",SUMIF('OTROS COMPONENTES'!$A$4:$A$200,$A54,'OTROS COMPONENTES'!$E$4:$E$200))</f>
        <v/>
      </c>
      <c r="AD54" s="21">
        <f>IF($A54="","",ROUND(N(AB54)-N(AC54),2))</f>
        <v/>
      </c>
      <c r="AE54" s="21">
        <f>IF($A54="","",ROUND(N(P54)+N(AB54),2))</f>
        <v/>
      </c>
      <c r="AF54" s="21">
        <f>IF($A54="","",ROUND(N(Z54)+N(AC54),2))</f>
        <v/>
      </c>
      <c r="AG54" s="21">
        <f>IF($A54="","",ROUND(N(AA54)+N(AD54),2))</f>
        <v/>
      </c>
      <c r="AH54" s="9">
        <f>IF($A54="","",IF(OR($H54="Por confirmar",$H54="Cerrado"),"No","Sí"))</f>
        <v/>
      </c>
      <c r="AI54" s="21">
        <f>IF($A54="","",IF(AH54="No",0,IF(RESUMEN!$B$4="Saldo por pagar al fabricante",AA54,IF(RESUMEN!$B$4="Monto completo del pedido",P54,IF(OR($H54="Embarcando",$H54="Embarcado"),N(AA54),N(P54))))))</f>
        <v/>
      </c>
      <c r="AJ54" s="9">
        <f>IF($A54="","",IF(COUNTIF($A$4:$A$200,$A54)&gt;1,"ID_Pedido repetido",IF(N($P54)&lt;=0,"Falta el costo del fabricante",IF($F54="","Falta el proyecto",IF($G54="","Falta el cliente",IF(AND($H54&lt;&gt;"Por confirmar",N($R54)&gt;0,$T54=""),"Falta el estado del anticipo",IF(AND($H54&lt;&gt;"Por confirmar",N($V54)&gt;0,$X54=""),"Falta el estado del balance",IF($E54&gt;1,""&amp;$E54&amp;" equipos en una fila: pártela en una por proyecto",IF(AND($X54="Pendiente",N($V54)&gt;0,$W54=""),"Falta la fecha en que vence el balance",IF(AND($H54&lt;&gt;"Por confirmar",$H54&lt;&gt;"Cerrado",$AI54=0),"Consume 0 de cupo pero no está Por confirmar",""))))))))))</f>
        <v/>
      </c>
      <c r="AK54" s="4" t="n"/>
    </row>
    <row r="55">
      <c r="A55" s="4" t="n"/>
      <c r="B55" s="4" t="n"/>
      <c r="C55" s="4" t="n"/>
      <c r="D55" s="4" t="n"/>
      <c r="E55" s="4" t="n"/>
      <c r="F55" s="4" t="n"/>
      <c r="G55" s="4" t="n"/>
      <c r="H55" s="4" t="n"/>
      <c r="I55" s="5" t="n"/>
      <c r="J55" s="5" t="n"/>
      <c r="K55" s="5" t="n"/>
      <c r="L55" s="5" t="n"/>
      <c r="M55" s="5" t="n"/>
      <c r="N55" s="4" t="n"/>
      <c r="O55" s="4" t="n"/>
      <c r="P55" s="20" t="n"/>
      <c r="Q55" s="30" t="n"/>
      <c r="R55" s="21">
        <f>IF($A55="","",ROUND(P55*Q55,2))</f>
        <v/>
      </c>
      <c r="S55" s="5" t="n"/>
      <c r="T55" s="4" t="n"/>
      <c r="U55" s="5" t="n"/>
      <c r="V55" s="21">
        <f>IF($A55="","",ROUND(P55-R55,2))</f>
        <v/>
      </c>
      <c r="W55" s="5" t="n"/>
      <c r="X55" s="4" t="n"/>
      <c r="Y55" s="5" t="n"/>
      <c r="Z55" s="21">
        <f>IF($A55="","",IF(T55="Pagado",N(R55),0)+IF(X55="Pagado",N(V55),0))</f>
        <v/>
      </c>
      <c r="AA55" s="21">
        <f>IF($A55="","",ROUND(N(P55)-N(Z55),2))</f>
        <v/>
      </c>
      <c r="AB55" s="21">
        <f>IF($A55="","",SUMIF('OTROS COMPONENTES'!$A$4:$A$200,$A55,'OTROS COMPONENTES'!$D$4:$D$200))</f>
        <v/>
      </c>
      <c r="AC55" s="21">
        <f>IF($A55="","",SUMIF('OTROS COMPONENTES'!$A$4:$A$200,$A55,'OTROS COMPONENTES'!$E$4:$E$200))</f>
        <v/>
      </c>
      <c r="AD55" s="21">
        <f>IF($A55="","",ROUND(N(AB55)-N(AC55),2))</f>
        <v/>
      </c>
      <c r="AE55" s="21">
        <f>IF($A55="","",ROUND(N(P55)+N(AB55),2))</f>
        <v/>
      </c>
      <c r="AF55" s="21">
        <f>IF($A55="","",ROUND(N(Z55)+N(AC55),2))</f>
        <v/>
      </c>
      <c r="AG55" s="21">
        <f>IF($A55="","",ROUND(N(AA55)+N(AD55),2))</f>
        <v/>
      </c>
      <c r="AH55" s="9">
        <f>IF($A55="","",IF(OR($H55="Por confirmar",$H55="Cerrado"),"No","Sí"))</f>
        <v/>
      </c>
      <c r="AI55" s="21">
        <f>IF($A55="","",IF(AH55="No",0,IF(RESUMEN!$B$4="Saldo por pagar al fabricante",AA55,IF(RESUMEN!$B$4="Monto completo del pedido",P55,IF(OR($H55="Embarcando",$H55="Embarcado"),N(AA55),N(P55))))))</f>
        <v/>
      </c>
      <c r="AJ55" s="9">
        <f>IF($A55="","",IF(COUNTIF($A$4:$A$200,$A55)&gt;1,"ID_Pedido repetido",IF(N($P55)&lt;=0,"Falta el costo del fabricante",IF($F55="","Falta el proyecto",IF($G55="","Falta el cliente",IF(AND($H55&lt;&gt;"Por confirmar",N($R55)&gt;0,$T55=""),"Falta el estado del anticipo",IF(AND($H55&lt;&gt;"Por confirmar",N($V55)&gt;0,$X55=""),"Falta el estado del balance",IF($E55&gt;1,""&amp;$E55&amp;" equipos en una fila: pártela en una por proyecto",IF(AND($X55="Pendiente",N($V55)&gt;0,$W55=""),"Falta la fecha en que vence el balance",IF(AND($H55&lt;&gt;"Por confirmar",$H55&lt;&gt;"Cerrado",$AI55=0),"Consume 0 de cupo pero no está Por confirmar",""))))))))))</f>
        <v/>
      </c>
      <c r="AK55" s="4" t="n"/>
    </row>
    <row r="56">
      <c r="A56" s="4" t="n"/>
      <c r="B56" s="4" t="n"/>
      <c r="C56" s="4" t="n"/>
      <c r="D56" s="4" t="n"/>
      <c r="E56" s="4" t="n"/>
      <c r="F56" s="4" t="n"/>
      <c r="G56" s="4" t="n"/>
      <c r="H56" s="4" t="n"/>
      <c r="I56" s="5" t="n"/>
      <c r="J56" s="5" t="n"/>
      <c r="K56" s="5" t="n"/>
      <c r="L56" s="5" t="n"/>
      <c r="M56" s="5" t="n"/>
      <c r="N56" s="4" t="n"/>
      <c r="O56" s="4" t="n"/>
      <c r="P56" s="20" t="n"/>
      <c r="Q56" s="30" t="n"/>
      <c r="R56" s="21">
        <f>IF($A56="","",ROUND(P56*Q56,2))</f>
        <v/>
      </c>
      <c r="S56" s="5" t="n"/>
      <c r="T56" s="4" t="n"/>
      <c r="U56" s="5" t="n"/>
      <c r="V56" s="21">
        <f>IF($A56="","",ROUND(P56-R56,2))</f>
        <v/>
      </c>
      <c r="W56" s="5" t="n"/>
      <c r="X56" s="4" t="n"/>
      <c r="Y56" s="5" t="n"/>
      <c r="Z56" s="21">
        <f>IF($A56="","",IF(T56="Pagado",N(R56),0)+IF(X56="Pagado",N(V56),0))</f>
        <v/>
      </c>
      <c r="AA56" s="21">
        <f>IF($A56="","",ROUND(N(P56)-N(Z56),2))</f>
        <v/>
      </c>
      <c r="AB56" s="21">
        <f>IF($A56="","",SUMIF('OTROS COMPONENTES'!$A$4:$A$200,$A56,'OTROS COMPONENTES'!$D$4:$D$200))</f>
        <v/>
      </c>
      <c r="AC56" s="21">
        <f>IF($A56="","",SUMIF('OTROS COMPONENTES'!$A$4:$A$200,$A56,'OTROS COMPONENTES'!$E$4:$E$200))</f>
        <v/>
      </c>
      <c r="AD56" s="21">
        <f>IF($A56="","",ROUND(N(AB56)-N(AC56),2))</f>
        <v/>
      </c>
      <c r="AE56" s="21">
        <f>IF($A56="","",ROUND(N(P56)+N(AB56),2))</f>
        <v/>
      </c>
      <c r="AF56" s="21">
        <f>IF($A56="","",ROUND(N(Z56)+N(AC56),2))</f>
        <v/>
      </c>
      <c r="AG56" s="21">
        <f>IF($A56="","",ROUND(N(AA56)+N(AD56),2))</f>
        <v/>
      </c>
      <c r="AH56" s="9">
        <f>IF($A56="","",IF(OR($H56="Por confirmar",$H56="Cerrado"),"No","Sí"))</f>
        <v/>
      </c>
      <c r="AI56" s="21">
        <f>IF($A56="","",IF(AH56="No",0,IF(RESUMEN!$B$4="Saldo por pagar al fabricante",AA56,IF(RESUMEN!$B$4="Monto completo del pedido",P56,IF(OR($H56="Embarcando",$H56="Embarcado"),N(AA56),N(P56))))))</f>
        <v/>
      </c>
      <c r="AJ56" s="9">
        <f>IF($A56="","",IF(COUNTIF($A$4:$A$200,$A56)&gt;1,"ID_Pedido repetido",IF(N($P56)&lt;=0,"Falta el costo del fabricante",IF($F56="","Falta el proyecto",IF($G56="","Falta el cliente",IF(AND($H56&lt;&gt;"Por confirmar",N($R56)&gt;0,$T56=""),"Falta el estado del anticipo",IF(AND($H56&lt;&gt;"Por confirmar",N($V56)&gt;0,$X56=""),"Falta el estado del balance",IF($E56&gt;1,""&amp;$E56&amp;" equipos en una fila: pártela en una por proyecto",IF(AND($X56="Pendiente",N($V56)&gt;0,$W56=""),"Falta la fecha en que vence el balance",IF(AND($H56&lt;&gt;"Por confirmar",$H56&lt;&gt;"Cerrado",$AI56=0),"Consume 0 de cupo pero no está Por confirmar",""))))))))))</f>
        <v/>
      </c>
      <c r="AK56" s="4" t="n"/>
    </row>
    <row r="57">
      <c r="A57" s="4" t="n"/>
      <c r="B57" s="4" t="n"/>
      <c r="C57" s="4" t="n"/>
      <c r="D57" s="4" t="n"/>
      <c r="E57" s="4" t="n"/>
      <c r="F57" s="4" t="n"/>
      <c r="G57" s="4" t="n"/>
      <c r="H57" s="4" t="n"/>
      <c r="I57" s="5" t="n"/>
      <c r="J57" s="5" t="n"/>
      <c r="K57" s="5" t="n"/>
      <c r="L57" s="5" t="n"/>
      <c r="M57" s="5" t="n"/>
      <c r="N57" s="4" t="n"/>
      <c r="O57" s="4" t="n"/>
      <c r="P57" s="20" t="n"/>
      <c r="Q57" s="30" t="n"/>
      <c r="R57" s="21">
        <f>IF($A57="","",ROUND(P57*Q57,2))</f>
        <v/>
      </c>
      <c r="S57" s="5" t="n"/>
      <c r="T57" s="4" t="n"/>
      <c r="U57" s="5" t="n"/>
      <c r="V57" s="21">
        <f>IF($A57="","",ROUND(P57-R57,2))</f>
        <v/>
      </c>
      <c r="W57" s="5" t="n"/>
      <c r="X57" s="4" t="n"/>
      <c r="Y57" s="5" t="n"/>
      <c r="Z57" s="21">
        <f>IF($A57="","",IF(T57="Pagado",N(R57),0)+IF(X57="Pagado",N(V57),0))</f>
        <v/>
      </c>
      <c r="AA57" s="21">
        <f>IF($A57="","",ROUND(N(P57)-N(Z57),2))</f>
        <v/>
      </c>
      <c r="AB57" s="21">
        <f>IF($A57="","",SUMIF('OTROS COMPONENTES'!$A$4:$A$200,$A57,'OTROS COMPONENTES'!$D$4:$D$200))</f>
        <v/>
      </c>
      <c r="AC57" s="21">
        <f>IF($A57="","",SUMIF('OTROS COMPONENTES'!$A$4:$A$200,$A57,'OTROS COMPONENTES'!$E$4:$E$200))</f>
        <v/>
      </c>
      <c r="AD57" s="21">
        <f>IF($A57="","",ROUND(N(AB57)-N(AC57),2))</f>
        <v/>
      </c>
      <c r="AE57" s="21">
        <f>IF($A57="","",ROUND(N(P57)+N(AB57),2))</f>
        <v/>
      </c>
      <c r="AF57" s="21">
        <f>IF($A57="","",ROUND(N(Z57)+N(AC57),2))</f>
        <v/>
      </c>
      <c r="AG57" s="21">
        <f>IF($A57="","",ROUND(N(AA57)+N(AD57),2))</f>
        <v/>
      </c>
      <c r="AH57" s="9">
        <f>IF($A57="","",IF(OR($H57="Por confirmar",$H57="Cerrado"),"No","Sí"))</f>
        <v/>
      </c>
      <c r="AI57" s="21">
        <f>IF($A57="","",IF(AH57="No",0,IF(RESUMEN!$B$4="Saldo por pagar al fabricante",AA57,IF(RESUMEN!$B$4="Monto completo del pedido",P57,IF(OR($H57="Embarcando",$H57="Embarcado"),N(AA57),N(P57))))))</f>
        <v/>
      </c>
      <c r="AJ57" s="9">
        <f>IF($A57="","",IF(COUNTIF($A$4:$A$200,$A57)&gt;1,"ID_Pedido repetido",IF(N($P57)&lt;=0,"Falta el costo del fabricante",IF($F57="","Falta el proyecto",IF($G57="","Falta el cliente",IF(AND($H57&lt;&gt;"Por confirmar",N($R57)&gt;0,$T57=""),"Falta el estado del anticipo",IF(AND($H57&lt;&gt;"Por confirmar",N($V57)&gt;0,$X57=""),"Falta el estado del balance",IF($E57&gt;1,""&amp;$E57&amp;" equipos en una fila: pártela en una por proyecto",IF(AND($X57="Pendiente",N($V57)&gt;0,$W57=""),"Falta la fecha en que vence el balance",IF(AND($H57&lt;&gt;"Por confirmar",$H57&lt;&gt;"Cerrado",$AI57=0),"Consume 0 de cupo pero no está Por confirmar",""))))))))))</f>
        <v/>
      </c>
      <c r="AK57" s="4" t="n"/>
    </row>
    <row r="58">
      <c r="A58" s="4" t="n"/>
      <c r="B58" s="4" t="n"/>
      <c r="C58" s="4" t="n"/>
      <c r="D58" s="4" t="n"/>
      <c r="E58" s="4" t="n"/>
      <c r="F58" s="4" t="n"/>
      <c r="G58" s="4" t="n"/>
      <c r="H58" s="4" t="n"/>
      <c r="I58" s="5" t="n"/>
      <c r="J58" s="5" t="n"/>
      <c r="K58" s="5" t="n"/>
      <c r="L58" s="5" t="n"/>
      <c r="M58" s="5" t="n"/>
      <c r="N58" s="4" t="n"/>
      <c r="O58" s="4" t="n"/>
      <c r="P58" s="20" t="n"/>
      <c r="Q58" s="30" t="n"/>
      <c r="R58" s="21">
        <f>IF($A58="","",ROUND(P58*Q58,2))</f>
        <v/>
      </c>
      <c r="S58" s="5" t="n"/>
      <c r="T58" s="4" t="n"/>
      <c r="U58" s="5" t="n"/>
      <c r="V58" s="21">
        <f>IF($A58="","",ROUND(P58-R58,2))</f>
        <v/>
      </c>
      <c r="W58" s="5" t="n"/>
      <c r="X58" s="4" t="n"/>
      <c r="Y58" s="5" t="n"/>
      <c r="Z58" s="21">
        <f>IF($A58="","",IF(T58="Pagado",N(R58),0)+IF(X58="Pagado",N(V58),0))</f>
        <v/>
      </c>
      <c r="AA58" s="21">
        <f>IF($A58="","",ROUND(N(P58)-N(Z58),2))</f>
        <v/>
      </c>
      <c r="AB58" s="21">
        <f>IF($A58="","",SUMIF('OTROS COMPONENTES'!$A$4:$A$200,$A58,'OTROS COMPONENTES'!$D$4:$D$200))</f>
        <v/>
      </c>
      <c r="AC58" s="21">
        <f>IF($A58="","",SUMIF('OTROS COMPONENTES'!$A$4:$A$200,$A58,'OTROS COMPONENTES'!$E$4:$E$200))</f>
        <v/>
      </c>
      <c r="AD58" s="21">
        <f>IF($A58="","",ROUND(N(AB58)-N(AC58),2))</f>
        <v/>
      </c>
      <c r="AE58" s="21">
        <f>IF($A58="","",ROUND(N(P58)+N(AB58),2))</f>
        <v/>
      </c>
      <c r="AF58" s="21">
        <f>IF($A58="","",ROUND(N(Z58)+N(AC58),2))</f>
        <v/>
      </c>
      <c r="AG58" s="21">
        <f>IF($A58="","",ROUND(N(AA58)+N(AD58),2))</f>
        <v/>
      </c>
      <c r="AH58" s="9">
        <f>IF($A58="","",IF(OR($H58="Por confirmar",$H58="Cerrado"),"No","Sí"))</f>
        <v/>
      </c>
      <c r="AI58" s="21">
        <f>IF($A58="","",IF(AH58="No",0,IF(RESUMEN!$B$4="Saldo por pagar al fabricante",AA58,IF(RESUMEN!$B$4="Monto completo del pedido",P58,IF(OR($H58="Embarcando",$H58="Embarcado"),N(AA58),N(P58))))))</f>
        <v/>
      </c>
      <c r="AJ58" s="9">
        <f>IF($A58="","",IF(COUNTIF($A$4:$A$200,$A58)&gt;1,"ID_Pedido repetido",IF(N($P58)&lt;=0,"Falta el costo del fabricante",IF($F58="","Falta el proyecto",IF($G58="","Falta el cliente",IF(AND($H58&lt;&gt;"Por confirmar",N($R58)&gt;0,$T58=""),"Falta el estado del anticipo",IF(AND($H58&lt;&gt;"Por confirmar",N($V58)&gt;0,$X58=""),"Falta el estado del balance",IF($E58&gt;1,""&amp;$E58&amp;" equipos en una fila: pártela en una por proyecto",IF(AND($X58="Pendiente",N($V58)&gt;0,$W58=""),"Falta la fecha en que vence el balance",IF(AND($H58&lt;&gt;"Por confirmar",$H58&lt;&gt;"Cerrado",$AI58=0),"Consume 0 de cupo pero no está Por confirmar",""))))))))))</f>
        <v/>
      </c>
      <c r="AK58" s="4" t="n"/>
    </row>
    <row r="59">
      <c r="A59" s="4" t="n"/>
      <c r="B59" s="4" t="n"/>
      <c r="C59" s="4" t="n"/>
      <c r="D59" s="4" t="n"/>
      <c r="E59" s="4" t="n"/>
      <c r="F59" s="4" t="n"/>
      <c r="G59" s="4" t="n"/>
      <c r="H59" s="4" t="n"/>
      <c r="I59" s="5" t="n"/>
      <c r="J59" s="5" t="n"/>
      <c r="K59" s="5" t="n"/>
      <c r="L59" s="5" t="n"/>
      <c r="M59" s="5" t="n"/>
      <c r="N59" s="4" t="n"/>
      <c r="O59" s="4" t="n"/>
      <c r="P59" s="20" t="n"/>
      <c r="Q59" s="30" t="n"/>
      <c r="R59" s="21">
        <f>IF($A59="","",ROUND(P59*Q59,2))</f>
        <v/>
      </c>
      <c r="S59" s="5" t="n"/>
      <c r="T59" s="4" t="n"/>
      <c r="U59" s="5" t="n"/>
      <c r="V59" s="21">
        <f>IF($A59="","",ROUND(P59-R59,2))</f>
        <v/>
      </c>
      <c r="W59" s="5" t="n"/>
      <c r="X59" s="4" t="n"/>
      <c r="Y59" s="5" t="n"/>
      <c r="Z59" s="21">
        <f>IF($A59="","",IF(T59="Pagado",N(R59),0)+IF(X59="Pagado",N(V59),0))</f>
        <v/>
      </c>
      <c r="AA59" s="21">
        <f>IF($A59="","",ROUND(N(P59)-N(Z59),2))</f>
        <v/>
      </c>
      <c r="AB59" s="21">
        <f>IF($A59="","",SUMIF('OTROS COMPONENTES'!$A$4:$A$200,$A59,'OTROS COMPONENTES'!$D$4:$D$200))</f>
        <v/>
      </c>
      <c r="AC59" s="21">
        <f>IF($A59="","",SUMIF('OTROS COMPONENTES'!$A$4:$A$200,$A59,'OTROS COMPONENTES'!$E$4:$E$200))</f>
        <v/>
      </c>
      <c r="AD59" s="21">
        <f>IF($A59="","",ROUND(N(AB59)-N(AC59),2))</f>
        <v/>
      </c>
      <c r="AE59" s="21">
        <f>IF($A59="","",ROUND(N(P59)+N(AB59),2))</f>
        <v/>
      </c>
      <c r="AF59" s="21">
        <f>IF($A59="","",ROUND(N(Z59)+N(AC59),2))</f>
        <v/>
      </c>
      <c r="AG59" s="21">
        <f>IF($A59="","",ROUND(N(AA59)+N(AD59),2))</f>
        <v/>
      </c>
      <c r="AH59" s="9">
        <f>IF($A59="","",IF(OR($H59="Por confirmar",$H59="Cerrado"),"No","Sí"))</f>
        <v/>
      </c>
      <c r="AI59" s="21">
        <f>IF($A59="","",IF(AH59="No",0,IF(RESUMEN!$B$4="Saldo por pagar al fabricante",AA59,IF(RESUMEN!$B$4="Monto completo del pedido",P59,IF(OR($H59="Embarcando",$H59="Embarcado"),N(AA59),N(P59))))))</f>
        <v/>
      </c>
      <c r="AJ59" s="9">
        <f>IF($A59="","",IF(COUNTIF($A$4:$A$200,$A59)&gt;1,"ID_Pedido repetido",IF(N($P59)&lt;=0,"Falta el costo del fabricante",IF($F59="","Falta el proyecto",IF($G59="","Falta el cliente",IF(AND($H59&lt;&gt;"Por confirmar",N($R59)&gt;0,$T59=""),"Falta el estado del anticipo",IF(AND($H59&lt;&gt;"Por confirmar",N($V59)&gt;0,$X59=""),"Falta el estado del balance",IF($E59&gt;1,""&amp;$E59&amp;" equipos en una fila: pártela en una por proyecto",IF(AND($X59="Pendiente",N($V59)&gt;0,$W59=""),"Falta la fecha en que vence el balance",IF(AND($H59&lt;&gt;"Por confirmar",$H59&lt;&gt;"Cerrado",$AI59=0),"Consume 0 de cupo pero no está Por confirmar",""))))))))))</f>
        <v/>
      </c>
      <c r="AK59" s="4" t="n"/>
    </row>
    <row r="60">
      <c r="A60" s="4" t="n"/>
      <c r="B60" s="4" t="n"/>
      <c r="C60" s="4" t="n"/>
      <c r="D60" s="4" t="n"/>
      <c r="E60" s="4" t="n"/>
      <c r="F60" s="4" t="n"/>
      <c r="G60" s="4" t="n"/>
      <c r="H60" s="4" t="n"/>
      <c r="I60" s="5" t="n"/>
      <c r="J60" s="5" t="n"/>
      <c r="K60" s="5" t="n"/>
      <c r="L60" s="5" t="n"/>
      <c r="M60" s="5" t="n"/>
      <c r="N60" s="4" t="n"/>
      <c r="O60" s="4" t="n"/>
      <c r="P60" s="20" t="n"/>
      <c r="Q60" s="30" t="n"/>
      <c r="R60" s="21">
        <f>IF($A60="","",ROUND(P60*Q60,2))</f>
        <v/>
      </c>
      <c r="S60" s="5" t="n"/>
      <c r="T60" s="4" t="n"/>
      <c r="U60" s="5" t="n"/>
      <c r="V60" s="21">
        <f>IF($A60="","",ROUND(P60-R60,2))</f>
        <v/>
      </c>
      <c r="W60" s="5" t="n"/>
      <c r="X60" s="4" t="n"/>
      <c r="Y60" s="5" t="n"/>
      <c r="Z60" s="21">
        <f>IF($A60="","",IF(T60="Pagado",N(R60),0)+IF(X60="Pagado",N(V60),0))</f>
        <v/>
      </c>
      <c r="AA60" s="21">
        <f>IF($A60="","",ROUND(N(P60)-N(Z60),2))</f>
        <v/>
      </c>
      <c r="AB60" s="21">
        <f>IF($A60="","",SUMIF('OTROS COMPONENTES'!$A$4:$A$200,$A60,'OTROS COMPONENTES'!$D$4:$D$200))</f>
        <v/>
      </c>
      <c r="AC60" s="21">
        <f>IF($A60="","",SUMIF('OTROS COMPONENTES'!$A$4:$A$200,$A60,'OTROS COMPONENTES'!$E$4:$E$200))</f>
        <v/>
      </c>
      <c r="AD60" s="21">
        <f>IF($A60="","",ROUND(N(AB60)-N(AC60),2))</f>
        <v/>
      </c>
      <c r="AE60" s="21">
        <f>IF($A60="","",ROUND(N(P60)+N(AB60),2))</f>
        <v/>
      </c>
      <c r="AF60" s="21">
        <f>IF($A60="","",ROUND(N(Z60)+N(AC60),2))</f>
        <v/>
      </c>
      <c r="AG60" s="21">
        <f>IF($A60="","",ROUND(N(AA60)+N(AD60),2))</f>
        <v/>
      </c>
      <c r="AH60" s="9">
        <f>IF($A60="","",IF(OR($H60="Por confirmar",$H60="Cerrado"),"No","Sí"))</f>
        <v/>
      </c>
      <c r="AI60" s="21">
        <f>IF($A60="","",IF(AH60="No",0,IF(RESUMEN!$B$4="Saldo por pagar al fabricante",AA60,IF(RESUMEN!$B$4="Monto completo del pedido",P60,IF(OR($H60="Embarcando",$H60="Embarcado"),N(AA60),N(P60))))))</f>
        <v/>
      </c>
      <c r="AJ60" s="9">
        <f>IF($A60="","",IF(COUNTIF($A$4:$A$200,$A60)&gt;1,"ID_Pedido repetido",IF(N($P60)&lt;=0,"Falta el costo del fabricante",IF($F60="","Falta el proyecto",IF($G60="","Falta el cliente",IF(AND($H60&lt;&gt;"Por confirmar",N($R60)&gt;0,$T60=""),"Falta el estado del anticipo",IF(AND($H60&lt;&gt;"Por confirmar",N($V60)&gt;0,$X60=""),"Falta el estado del balance",IF($E60&gt;1,""&amp;$E60&amp;" equipos en una fila: pártela en una por proyecto",IF(AND($X60="Pendiente",N($V60)&gt;0,$W60=""),"Falta la fecha en que vence el balance",IF(AND($H60&lt;&gt;"Por confirmar",$H60&lt;&gt;"Cerrado",$AI60=0),"Consume 0 de cupo pero no está Por confirmar",""))))))))))</f>
        <v/>
      </c>
      <c r="AK60" s="4" t="n"/>
    </row>
    <row r="61">
      <c r="A61" s="4" t="n"/>
      <c r="B61" s="4" t="n"/>
      <c r="C61" s="4" t="n"/>
      <c r="D61" s="4" t="n"/>
      <c r="E61" s="4" t="n"/>
      <c r="F61" s="4" t="n"/>
      <c r="G61" s="4" t="n"/>
      <c r="H61" s="4" t="n"/>
      <c r="I61" s="5" t="n"/>
      <c r="J61" s="5" t="n"/>
      <c r="K61" s="5" t="n"/>
      <c r="L61" s="5" t="n"/>
      <c r="M61" s="5" t="n"/>
      <c r="N61" s="4" t="n"/>
      <c r="O61" s="4" t="n"/>
      <c r="P61" s="20" t="n"/>
      <c r="Q61" s="30" t="n"/>
      <c r="R61" s="21">
        <f>IF($A61="","",ROUND(P61*Q61,2))</f>
        <v/>
      </c>
      <c r="S61" s="5" t="n"/>
      <c r="T61" s="4" t="n"/>
      <c r="U61" s="5" t="n"/>
      <c r="V61" s="21">
        <f>IF($A61="","",ROUND(P61-R61,2))</f>
        <v/>
      </c>
      <c r="W61" s="5" t="n"/>
      <c r="X61" s="4" t="n"/>
      <c r="Y61" s="5" t="n"/>
      <c r="Z61" s="21">
        <f>IF($A61="","",IF(T61="Pagado",N(R61),0)+IF(X61="Pagado",N(V61),0))</f>
        <v/>
      </c>
      <c r="AA61" s="21">
        <f>IF($A61="","",ROUND(N(P61)-N(Z61),2))</f>
        <v/>
      </c>
      <c r="AB61" s="21">
        <f>IF($A61="","",SUMIF('OTROS COMPONENTES'!$A$4:$A$200,$A61,'OTROS COMPONENTES'!$D$4:$D$200))</f>
        <v/>
      </c>
      <c r="AC61" s="21">
        <f>IF($A61="","",SUMIF('OTROS COMPONENTES'!$A$4:$A$200,$A61,'OTROS COMPONENTES'!$E$4:$E$200))</f>
        <v/>
      </c>
      <c r="AD61" s="21">
        <f>IF($A61="","",ROUND(N(AB61)-N(AC61),2))</f>
        <v/>
      </c>
      <c r="AE61" s="21">
        <f>IF($A61="","",ROUND(N(P61)+N(AB61),2))</f>
        <v/>
      </c>
      <c r="AF61" s="21">
        <f>IF($A61="","",ROUND(N(Z61)+N(AC61),2))</f>
        <v/>
      </c>
      <c r="AG61" s="21">
        <f>IF($A61="","",ROUND(N(AA61)+N(AD61),2))</f>
        <v/>
      </c>
      <c r="AH61" s="9">
        <f>IF($A61="","",IF(OR($H61="Por confirmar",$H61="Cerrado"),"No","Sí"))</f>
        <v/>
      </c>
      <c r="AI61" s="21">
        <f>IF($A61="","",IF(AH61="No",0,IF(RESUMEN!$B$4="Saldo por pagar al fabricante",AA61,IF(RESUMEN!$B$4="Monto completo del pedido",P61,IF(OR($H61="Embarcando",$H61="Embarcado"),N(AA61),N(P61))))))</f>
        <v/>
      </c>
      <c r="AJ61" s="9">
        <f>IF($A61="","",IF(COUNTIF($A$4:$A$200,$A61)&gt;1,"ID_Pedido repetido",IF(N($P61)&lt;=0,"Falta el costo del fabricante",IF($F61="","Falta el proyecto",IF($G61="","Falta el cliente",IF(AND($H61&lt;&gt;"Por confirmar",N($R61)&gt;0,$T61=""),"Falta el estado del anticipo",IF(AND($H61&lt;&gt;"Por confirmar",N($V61)&gt;0,$X61=""),"Falta el estado del balance",IF($E61&gt;1,""&amp;$E61&amp;" equipos en una fila: pártela en una por proyecto",IF(AND($X61="Pendiente",N($V61)&gt;0,$W61=""),"Falta la fecha en que vence el balance",IF(AND($H61&lt;&gt;"Por confirmar",$H61&lt;&gt;"Cerrado",$AI61=0),"Consume 0 de cupo pero no está Por confirmar",""))))))))))</f>
        <v/>
      </c>
      <c r="AK61" s="4" t="n"/>
    </row>
    <row r="62">
      <c r="A62" s="4" t="n"/>
      <c r="B62" s="4" t="n"/>
      <c r="C62" s="4" t="n"/>
      <c r="D62" s="4" t="n"/>
      <c r="E62" s="4" t="n"/>
      <c r="F62" s="4" t="n"/>
      <c r="G62" s="4" t="n"/>
      <c r="H62" s="4" t="n"/>
      <c r="I62" s="5" t="n"/>
      <c r="J62" s="5" t="n"/>
      <c r="K62" s="5" t="n"/>
      <c r="L62" s="5" t="n"/>
      <c r="M62" s="5" t="n"/>
      <c r="N62" s="4" t="n"/>
      <c r="O62" s="4" t="n"/>
      <c r="P62" s="20" t="n"/>
      <c r="Q62" s="30" t="n"/>
      <c r="R62" s="21">
        <f>IF($A62="","",ROUND(P62*Q62,2))</f>
        <v/>
      </c>
      <c r="S62" s="5" t="n"/>
      <c r="T62" s="4" t="n"/>
      <c r="U62" s="5" t="n"/>
      <c r="V62" s="21">
        <f>IF($A62="","",ROUND(P62-R62,2))</f>
        <v/>
      </c>
      <c r="W62" s="5" t="n"/>
      <c r="X62" s="4" t="n"/>
      <c r="Y62" s="5" t="n"/>
      <c r="Z62" s="21">
        <f>IF($A62="","",IF(T62="Pagado",N(R62),0)+IF(X62="Pagado",N(V62),0))</f>
        <v/>
      </c>
      <c r="AA62" s="21">
        <f>IF($A62="","",ROUND(N(P62)-N(Z62),2))</f>
        <v/>
      </c>
      <c r="AB62" s="21">
        <f>IF($A62="","",SUMIF('OTROS COMPONENTES'!$A$4:$A$200,$A62,'OTROS COMPONENTES'!$D$4:$D$200))</f>
        <v/>
      </c>
      <c r="AC62" s="21">
        <f>IF($A62="","",SUMIF('OTROS COMPONENTES'!$A$4:$A$200,$A62,'OTROS COMPONENTES'!$E$4:$E$200))</f>
        <v/>
      </c>
      <c r="AD62" s="21">
        <f>IF($A62="","",ROUND(N(AB62)-N(AC62),2))</f>
        <v/>
      </c>
      <c r="AE62" s="21">
        <f>IF($A62="","",ROUND(N(P62)+N(AB62),2))</f>
        <v/>
      </c>
      <c r="AF62" s="21">
        <f>IF($A62="","",ROUND(N(Z62)+N(AC62),2))</f>
        <v/>
      </c>
      <c r="AG62" s="21">
        <f>IF($A62="","",ROUND(N(AA62)+N(AD62),2))</f>
        <v/>
      </c>
      <c r="AH62" s="9">
        <f>IF($A62="","",IF(OR($H62="Por confirmar",$H62="Cerrado"),"No","Sí"))</f>
        <v/>
      </c>
      <c r="AI62" s="21">
        <f>IF($A62="","",IF(AH62="No",0,IF(RESUMEN!$B$4="Saldo por pagar al fabricante",AA62,IF(RESUMEN!$B$4="Monto completo del pedido",P62,IF(OR($H62="Embarcando",$H62="Embarcado"),N(AA62),N(P62))))))</f>
        <v/>
      </c>
      <c r="AJ62" s="9">
        <f>IF($A62="","",IF(COUNTIF($A$4:$A$200,$A62)&gt;1,"ID_Pedido repetido",IF(N($P62)&lt;=0,"Falta el costo del fabricante",IF($F62="","Falta el proyecto",IF($G62="","Falta el cliente",IF(AND($H62&lt;&gt;"Por confirmar",N($R62)&gt;0,$T62=""),"Falta el estado del anticipo",IF(AND($H62&lt;&gt;"Por confirmar",N($V62)&gt;0,$X62=""),"Falta el estado del balance",IF($E62&gt;1,""&amp;$E62&amp;" equipos en una fila: pártela en una por proyecto",IF(AND($X62="Pendiente",N($V62)&gt;0,$W62=""),"Falta la fecha en que vence el balance",IF(AND($H62&lt;&gt;"Por confirmar",$H62&lt;&gt;"Cerrado",$AI62=0),"Consume 0 de cupo pero no está Por confirmar",""))))))))))</f>
        <v/>
      </c>
      <c r="AK62" s="4" t="n"/>
    </row>
    <row r="63">
      <c r="A63" s="4" t="n"/>
      <c r="B63" s="4" t="n"/>
      <c r="C63" s="4" t="n"/>
      <c r="D63" s="4" t="n"/>
      <c r="E63" s="4" t="n"/>
      <c r="F63" s="4" t="n"/>
      <c r="G63" s="4" t="n"/>
      <c r="H63" s="4" t="n"/>
      <c r="I63" s="5" t="n"/>
      <c r="J63" s="5" t="n"/>
      <c r="K63" s="5" t="n"/>
      <c r="L63" s="5" t="n"/>
      <c r="M63" s="5" t="n"/>
      <c r="N63" s="4" t="n"/>
      <c r="O63" s="4" t="n"/>
      <c r="P63" s="20" t="n"/>
      <c r="Q63" s="30" t="n"/>
      <c r="R63" s="21">
        <f>IF($A63="","",ROUND(P63*Q63,2))</f>
        <v/>
      </c>
      <c r="S63" s="5" t="n"/>
      <c r="T63" s="4" t="n"/>
      <c r="U63" s="5" t="n"/>
      <c r="V63" s="21">
        <f>IF($A63="","",ROUND(P63-R63,2))</f>
        <v/>
      </c>
      <c r="W63" s="5" t="n"/>
      <c r="X63" s="4" t="n"/>
      <c r="Y63" s="5" t="n"/>
      <c r="Z63" s="21">
        <f>IF($A63="","",IF(T63="Pagado",N(R63),0)+IF(X63="Pagado",N(V63),0))</f>
        <v/>
      </c>
      <c r="AA63" s="21">
        <f>IF($A63="","",ROUND(N(P63)-N(Z63),2))</f>
        <v/>
      </c>
      <c r="AB63" s="21">
        <f>IF($A63="","",SUMIF('OTROS COMPONENTES'!$A$4:$A$200,$A63,'OTROS COMPONENTES'!$D$4:$D$200))</f>
        <v/>
      </c>
      <c r="AC63" s="21">
        <f>IF($A63="","",SUMIF('OTROS COMPONENTES'!$A$4:$A$200,$A63,'OTROS COMPONENTES'!$E$4:$E$200))</f>
        <v/>
      </c>
      <c r="AD63" s="21">
        <f>IF($A63="","",ROUND(N(AB63)-N(AC63),2))</f>
        <v/>
      </c>
      <c r="AE63" s="21">
        <f>IF($A63="","",ROUND(N(P63)+N(AB63),2))</f>
        <v/>
      </c>
      <c r="AF63" s="21">
        <f>IF($A63="","",ROUND(N(Z63)+N(AC63),2))</f>
        <v/>
      </c>
      <c r="AG63" s="21">
        <f>IF($A63="","",ROUND(N(AA63)+N(AD63),2))</f>
        <v/>
      </c>
      <c r="AH63" s="9">
        <f>IF($A63="","",IF(OR($H63="Por confirmar",$H63="Cerrado"),"No","Sí"))</f>
        <v/>
      </c>
      <c r="AI63" s="21">
        <f>IF($A63="","",IF(AH63="No",0,IF(RESUMEN!$B$4="Saldo por pagar al fabricante",AA63,IF(RESUMEN!$B$4="Monto completo del pedido",P63,IF(OR($H63="Embarcando",$H63="Embarcado"),N(AA63),N(P63))))))</f>
        <v/>
      </c>
      <c r="AJ63" s="9">
        <f>IF($A63="","",IF(COUNTIF($A$4:$A$200,$A63)&gt;1,"ID_Pedido repetido",IF(N($P63)&lt;=0,"Falta el costo del fabricante",IF($F63="","Falta el proyecto",IF($G63="","Falta el cliente",IF(AND($H63&lt;&gt;"Por confirmar",N($R63)&gt;0,$T63=""),"Falta el estado del anticipo",IF(AND($H63&lt;&gt;"Por confirmar",N($V63)&gt;0,$X63=""),"Falta el estado del balance",IF($E63&gt;1,""&amp;$E63&amp;" equipos en una fila: pártela en una por proyecto",IF(AND($X63="Pendiente",N($V63)&gt;0,$W63=""),"Falta la fecha en que vence el balance",IF(AND($H63&lt;&gt;"Por confirmar",$H63&lt;&gt;"Cerrado",$AI63=0),"Consume 0 de cupo pero no está Por confirmar",""))))))))))</f>
        <v/>
      </c>
      <c r="AK63" s="4" t="n"/>
    </row>
    <row r="64">
      <c r="A64" s="4" t="n"/>
      <c r="B64" s="4" t="n"/>
      <c r="C64" s="4" t="n"/>
      <c r="D64" s="4" t="n"/>
      <c r="E64" s="4" t="n"/>
      <c r="F64" s="4" t="n"/>
      <c r="G64" s="4" t="n"/>
      <c r="H64" s="4" t="n"/>
      <c r="I64" s="5" t="n"/>
      <c r="J64" s="5" t="n"/>
      <c r="K64" s="5" t="n"/>
      <c r="L64" s="5" t="n"/>
      <c r="M64" s="5" t="n"/>
      <c r="N64" s="4" t="n"/>
      <c r="O64" s="4" t="n"/>
      <c r="P64" s="20" t="n"/>
      <c r="Q64" s="30" t="n"/>
      <c r="R64" s="21">
        <f>IF($A64="","",ROUND(P64*Q64,2))</f>
        <v/>
      </c>
      <c r="S64" s="5" t="n"/>
      <c r="T64" s="4" t="n"/>
      <c r="U64" s="5" t="n"/>
      <c r="V64" s="21">
        <f>IF($A64="","",ROUND(P64-R64,2))</f>
        <v/>
      </c>
      <c r="W64" s="5" t="n"/>
      <c r="X64" s="4" t="n"/>
      <c r="Y64" s="5" t="n"/>
      <c r="Z64" s="21">
        <f>IF($A64="","",IF(T64="Pagado",N(R64),0)+IF(X64="Pagado",N(V64),0))</f>
        <v/>
      </c>
      <c r="AA64" s="21">
        <f>IF($A64="","",ROUND(N(P64)-N(Z64),2))</f>
        <v/>
      </c>
      <c r="AB64" s="21">
        <f>IF($A64="","",SUMIF('OTROS COMPONENTES'!$A$4:$A$200,$A64,'OTROS COMPONENTES'!$D$4:$D$200))</f>
        <v/>
      </c>
      <c r="AC64" s="21">
        <f>IF($A64="","",SUMIF('OTROS COMPONENTES'!$A$4:$A$200,$A64,'OTROS COMPONENTES'!$E$4:$E$200))</f>
        <v/>
      </c>
      <c r="AD64" s="21">
        <f>IF($A64="","",ROUND(N(AB64)-N(AC64),2))</f>
        <v/>
      </c>
      <c r="AE64" s="21">
        <f>IF($A64="","",ROUND(N(P64)+N(AB64),2))</f>
        <v/>
      </c>
      <c r="AF64" s="21">
        <f>IF($A64="","",ROUND(N(Z64)+N(AC64),2))</f>
        <v/>
      </c>
      <c r="AG64" s="21">
        <f>IF($A64="","",ROUND(N(AA64)+N(AD64),2))</f>
        <v/>
      </c>
      <c r="AH64" s="9">
        <f>IF($A64="","",IF(OR($H64="Por confirmar",$H64="Cerrado"),"No","Sí"))</f>
        <v/>
      </c>
      <c r="AI64" s="21">
        <f>IF($A64="","",IF(AH64="No",0,IF(RESUMEN!$B$4="Saldo por pagar al fabricante",AA64,IF(RESUMEN!$B$4="Monto completo del pedido",P64,IF(OR($H64="Embarcando",$H64="Embarcado"),N(AA64),N(P64))))))</f>
        <v/>
      </c>
      <c r="AJ64" s="9">
        <f>IF($A64="","",IF(COUNTIF($A$4:$A$200,$A64)&gt;1,"ID_Pedido repetido",IF(N($P64)&lt;=0,"Falta el costo del fabricante",IF($F64="","Falta el proyecto",IF($G64="","Falta el cliente",IF(AND($H64&lt;&gt;"Por confirmar",N($R64)&gt;0,$T64=""),"Falta el estado del anticipo",IF(AND($H64&lt;&gt;"Por confirmar",N($V64)&gt;0,$X64=""),"Falta el estado del balance",IF($E64&gt;1,""&amp;$E64&amp;" equipos en una fila: pártela en una por proyecto",IF(AND($X64="Pendiente",N($V64)&gt;0,$W64=""),"Falta la fecha en que vence el balance",IF(AND($H64&lt;&gt;"Por confirmar",$H64&lt;&gt;"Cerrado",$AI64=0),"Consume 0 de cupo pero no está Por confirmar",""))))))))))</f>
        <v/>
      </c>
      <c r="AK64" s="4" t="n"/>
    </row>
    <row r="65">
      <c r="A65" s="4" t="n"/>
      <c r="B65" s="4" t="n"/>
      <c r="C65" s="4" t="n"/>
      <c r="D65" s="4" t="n"/>
      <c r="E65" s="4" t="n"/>
      <c r="F65" s="4" t="n"/>
      <c r="G65" s="4" t="n"/>
      <c r="H65" s="4" t="n"/>
      <c r="I65" s="5" t="n"/>
      <c r="J65" s="5" t="n"/>
      <c r="K65" s="5" t="n"/>
      <c r="L65" s="5" t="n"/>
      <c r="M65" s="5" t="n"/>
      <c r="N65" s="4" t="n"/>
      <c r="O65" s="4" t="n"/>
      <c r="P65" s="20" t="n"/>
      <c r="Q65" s="30" t="n"/>
      <c r="R65" s="21">
        <f>IF($A65="","",ROUND(P65*Q65,2))</f>
        <v/>
      </c>
      <c r="S65" s="5" t="n"/>
      <c r="T65" s="4" t="n"/>
      <c r="U65" s="5" t="n"/>
      <c r="V65" s="21">
        <f>IF($A65="","",ROUND(P65-R65,2))</f>
        <v/>
      </c>
      <c r="W65" s="5" t="n"/>
      <c r="X65" s="4" t="n"/>
      <c r="Y65" s="5" t="n"/>
      <c r="Z65" s="21">
        <f>IF($A65="","",IF(T65="Pagado",N(R65),0)+IF(X65="Pagado",N(V65),0))</f>
        <v/>
      </c>
      <c r="AA65" s="21">
        <f>IF($A65="","",ROUND(N(P65)-N(Z65),2))</f>
        <v/>
      </c>
      <c r="AB65" s="21">
        <f>IF($A65="","",SUMIF('OTROS COMPONENTES'!$A$4:$A$200,$A65,'OTROS COMPONENTES'!$D$4:$D$200))</f>
        <v/>
      </c>
      <c r="AC65" s="21">
        <f>IF($A65="","",SUMIF('OTROS COMPONENTES'!$A$4:$A$200,$A65,'OTROS COMPONENTES'!$E$4:$E$200))</f>
        <v/>
      </c>
      <c r="AD65" s="21">
        <f>IF($A65="","",ROUND(N(AB65)-N(AC65),2))</f>
        <v/>
      </c>
      <c r="AE65" s="21">
        <f>IF($A65="","",ROUND(N(P65)+N(AB65),2))</f>
        <v/>
      </c>
      <c r="AF65" s="21">
        <f>IF($A65="","",ROUND(N(Z65)+N(AC65),2))</f>
        <v/>
      </c>
      <c r="AG65" s="21">
        <f>IF($A65="","",ROUND(N(AA65)+N(AD65),2))</f>
        <v/>
      </c>
      <c r="AH65" s="9">
        <f>IF($A65="","",IF(OR($H65="Por confirmar",$H65="Cerrado"),"No","Sí"))</f>
        <v/>
      </c>
      <c r="AI65" s="21">
        <f>IF($A65="","",IF(AH65="No",0,IF(RESUMEN!$B$4="Saldo por pagar al fabricante",AA65,IF(RESUMEN!$B$4="Monto completo del pedido",P65,IF(OR($H65="Embarcando",$H65="Embarcado"),N(AA65),N(P65))))))</f>
        <v/>
      </c>
      <c r="AJ65" s="9">
        <f>IF($A65="","",IF(COUNTIF($A$4:$A$200,$A65)&gt;1,"ID_Pedido repetido",IF(N($P65)&lt;=0,"Falta el costo del fabricante",IF($F65="","Falta el proyecto",IF($G65="","Falta el cliente",IF(AND($H65&lt;&gt;"Por confirmar",N($R65)&gt;0,$T65=""),"Falta el estado del anticipo",IF(AND($H65&lt;&gt;"Por confirmar",N($V65)&gt;0,$X65=""),"Falta el estado del balance",IF($E65&gt;1,""&amp;$E65&amp;" equipos en una fila: pártela en una por proyecto",IF(AND($X65="Pendiente",N($V65)&gt;0,$W65=""),"Falta la fecha en que vence el balance",IF(AND($H65&lt;&gt;"Por confirmar",$H65&lt;&gt;"Cerrado",$AI65=0),"Consume 0 de cupo pero no está Por confirmar",""))))))))))</f>
        <v/>
      </c>
      <c r="AK65" s="4" t="n"/>
    </row>
    <row r="66">
      <c r="A66" s="4" t="n"/>
      <c r="B66" s="4" t="n"/>
      <c r="C66" s="4" t="n"/>
      <c r="D66" s="4" t="n"/>
      <c r="E66" s="4" t="n"/>
      <c r="F66" s="4" t="n"/>
      <c r="G66" s="4" t="n"/>
      <c r="H66" s="4" t="n"/>
      <c r="I66" s="5" t="n"/>
      <c r="J66" s="5" t="n"/>
      <c r="K66" s="5" t="n"/>
      <c r="L66" s="5" t="n"/>
      <c r="M66" s="5" t="n"/>
      <c r="N66" s="4" t="n"/>
      <c r="O66" s="4" t="n"/>
      <c r="P66" s="20" t="n"/>
      <c r="Q66" s="30" t="n"/>
      <c r="R66" s="21">
        <f>IF($A66="","",ROUND(P66*Q66,2))</f>
        <v/>
      </c>
      <c r="S66" s="5" t="n"/>
      <c r="T66" s="4" t="n"/>
      <c r="U66" s="5" t="n"/>
      <c r="V66" s="21">
        <f>IF($A66="","",ROUND(P66-R66,2))</f>
        <v/>
      </c>
      <c r="W66" s="5" t="n"/>
      <c r="X66" s="4" t="n"/>
      <c r="Y66" s="5" t="n"/>
      <c r="Z66" s="21">
        <f>IF($A66="","",IF(T66="Pagado",N(R66),0)+IF(X66="Pagado",N(V66),0))</f>
        <v/>
      </c>
      <c r="AA66" s="21">
        <f>IF($A66="","",ROUND(N(P66)-N(Z66),2))</f>
        <v/>
      </c>
      <c r="AB66" s="21">
        <f>IF($A66="","",SUMIF('OTROS COMPONENTES'!$A$4:$A$200,$A66,'OTROS COMPONENTES'!$D$4:$D$200))</f>
        <v/>
      </c>
      <c r="AC66" s="21">
        <f>IF($A66="","",SUMIF('OTROS COMPONENTES'!$A$4:$A$200,$A66,'OTROS COMPONENTES'!$E$4:$E$200))</f>
        <v/>
      </c>
      <c r="AD66" s="21">
        <f>IF($A66="","",ROUND(N(AB66)-N(AC66),2))</f>
        <v/>
      </c>
      <c r="AE66" s="21">
        <f>IF($A66="","",ROUND(N(P66)+N(AB66),2))</f>
        <v/>
      </c>
      <c r="AF66" s="21">
        <f>IF($A66="","",ROUND(N(Z66)+N(AC66),2))</f>
        <v/>
      </c>
      <c r="AG66" s="21">
        <f>IF($A66="","",ROUND(N(AA66)+N(AD66),2))</f>
        <v/>
      </c>
      <c r="AH66" s="9">
        <f>IF($A66="","",IF(OR($H66="Por confirmar",$H66="Cerrado"),"No","Sí"))</f>
        <v/>
      </c>
      <c r="AI66" s="21">
        <f>IF($A66="","",IF(AH66="No",0,IF(RESUMEN!$B$4="Saldo por pagar al fabricante",AA66,IF(RESUMEN!$B$4="Monto completo del pedido",P66,IF(OR($H66="Embarcando",$H66="Embarcado"),N(AA66),N(P66))))))</f>
        <v/>
      </c>
      <c r="AJ66" s="9">
        <f>IF($A66="","",IF(COUNTIF($A$4:$A$200,$A66)&gt;1,"ID_Pedido repetido",IF(N($P66)&lt;=0,"Falta el costo del fabricante",IF($F66="","Falta el proyecto",IF($G66="","Falta el cliente",IF(AND($H66&lt;&gt;"Por confirmar",N($R66)&gt;0,$T66=""),"Falta el estado del anticipo",IF(AND($H66&lt;&gt;"Por confirmar",N($V66)&gt;0,$X66=""),"Falta el estado del balance",IF($E66&gt;1,""&amp;$E66&amp;" equipos en una fila: pártela en una por proyecto",IF(AND($X66="Pendiente",N($V66)&gt;0,$W66=""),"Falta la fecha en que vence el balance",IF(AND($H66&lt;&gt;"Por confirmar",$H66&lt;&gt;"Cerrado",$AI66=0),"Consume 0 de cupo pero no está Por confirmar",""))))))))))</f>
        <v/>
      </c>
      <c r="AK66" s="4" t="n"/>
    </row>
    <row r="67">
      <c r="A67" s="4" t="n"/>
      <c r="B67" s="4" t="n"/>
      <c r="C67" s="4" t="n"/>
      <c r="D67" s="4" t="n"/>
      <c r="E67" s="4" t="n"/>
      <c r="F67" s="4" t="n"/>
      <c r="G67" s="4" t="n"/>
      <c r="H67" s="4" t="n"/>
      <c r="I67" s="5" t="n"/>
      <c r="J67" s="5" t="n"/>
      <c r="K67" s="5" t="n"/>
      <c r="L67" s="5" t="n"/>
      <c r="M67" s="5" t="n"/>
      <c r="N67" s="4" t="n"/>
      <c r="O67" s="4" t="n"/>
      <c r="P67" s="20" t="n"/>
      <c r="Q67" s="30" t="n"/>
      <c r="R67" s="21">
        <f>IF($A67="","",ROUND(P67*Q67,2))</f>
        <v/>
      </c>
      <c r="S67" s="5" t="n"/>
      <c r="T67" s="4" t="n"/>
      <c r="U67" s="5" t="n"/>
      <c r="V67" s="21">
        <f>IF($A67="","",ROUND(P67-R67,2))</f>
        <v/>
      </c>
      <c r="W67" s="5" t="n"/>
      <c r="X67" s="4" t="n"/>
      <c r="Y67" s="5" t="n"/>
      <c r="Z67" s="21">
        <f>IF($A67="","",IF(T67="Pagado",N(R67),0)+IF(X67="Pagado",N(V67),0))</f>
        <v/>
      </c>
      <c r="AA67" s="21">
        <f>IF($A67="","",ROUND(N(P67)-N(Z67),2))</f>
        <v/>
      </c>
      <c r="AB67" s="21">
        <f>IF($A67="","",SUMIF('OTROS COMPONENTES'!$A$4:$A$200,$A67,'OTROS COMPONENTES'!$D$4:$D$200))</f>
        <v/>
      </c>
      <c r="AC67" s="21">
        <f>IF($A67="","",SUMIF('OTROS COMPONENTES'!$A$4:$A$200,$A67,'OTROS COMPONENTES'!$E$4:$E$200))</f>
        <v/>
      </c>
      <c r="AD67" s="21">
        <f>IF($A67="","",ROUND(N(AB67)-N(AC67),2))</f>
        <v/>
      </c>
      <c r="AE67" s="21">
        <f>IF($A67="","",ROUND(N(P67)+N(AB67),2))</f>
        <v/>
      </c>
      <c r="AF67" s="21">
        <f>IF($A67="","",ROUND(N(Z67)+N(AC67),2))</f>
        <v/>
      </c>
      <c r="AG67" s="21">
        <f>IF($A67="","",ROUND(N(AA67)+N(AD67),2))</f>
        <v/>
      </c>
      <c r="AH67" s="9">
        <f>IF($A67="","",IF(OR($H67="Por confirmar",$H67="Cerrado"),"No","Sí"))</f>
        <v/>
      </c>
      <c r="AI67" s="21">
        <f>IF($A67="","",IF(AH67="No",0,IF(RESUMEN!$B$4="Saldo por pagar al fabricante",AA67,IF(RESUMEN!$B$4="Monto completo del pedido",P67,IF(OR($H67="Embarcando",$H67="Embarcado"),N(AA67),N(P67))))))</f>
        <v/>
      </c>
      <c r="AJ67" s="9">
        <f>IF($A67="","",IF(COUNTIF($A$4:$A$200,$A67)&gt;1,"ID_Pedido repetido",IF(N($P67)&lt;=0,"Falta el costo del fabricante",IF($F67="","Falta el proyecto",IF($G67="","Falta el cliente",IF(AND($H67&lt;&gt;"Por confirmar",N($R67)&gt;0,$T67=""),"Falta el estado del anticipo",IF(AND($H67&lt;&gt;"Por confirmar",N($V67)&gt;0,$X67=""),"Falta el estado del balance",IF($E67&gt;1,""&amp;$E67&amp;" equipos en una fila: pártela en una por proyecto",IF(AND($X67="Pendiente",N($V67)&gt;0,$W67=""),"Falta la fecha en que vence el balance",IF(AND($H67&lt;&gt;"Por confirmar",$H67&lt;&gt;"Cerrado",$AI67=0),"Consume 0 de cupo pero no está Por confirmar",""))))))))))</f>
        <v/>
      </c>
      <c r="AK67" s="4" t="n"/>
    </row>
    <row r="68">
      <c r="A68" s="4" t="n"/>
      <c r="B68" s="4" t="n"/>
      <c r="C68" s="4" t="n"/>
      <c r="D68" s="4" t="n"/>
      <c r="E68" s="4" t="n"/>
      <c r="F68" s="4" t="n"/>
      <c r="G68" s="4" t="n"/>
      <c r="H68" s="4" t="n"/>
      <c r="I68" s="5" t="n"/>
      <c r="J68" s="5" t="n"/>
      <c r="K68" s="5" t="n"/>
      <c r="L68" s="5" t="n"/>
      <c r="M68" s="5" t="n"/>
      <c r="N68" s="4" t="n"/>
      <c r="O68" s="4" t="n"/>
      <c r="P68" s="20" t="n"/>
      <c r="Q68" s="30" t="n"/>
      <c r="R68" s="21">
        <f>IF($A68="","",ROUND(P68*Q68,2))</f>
        <v/>
      </c>
      <c r="S68" s="5" t="n"/>
      <c r="T68" s="4" t="n"/>
      <c r="U68" s="5" t="n"/>
      <c r="V68" s="21">
        <f>IF($A68="","",ROUND(P68-R68,2))</f>
        <v/>
      </c>
      <c r="W68" s="5" t="n"/>
      <c r="X68" s="4" t="n"/>
      <c r="Y68" s="5" t="n"/>
      <c r="Z68" s="21">
        <f>IF($A68="","",IF(T68="Pagado",N(R68),0)+IF(X68="Pagado",N(V68),0))</f>
        <v/>
      </c>
      <c r="AA68" s="21">
        <f>IF($A68="","",ROUND(N(P68)-N(Z68),2))</f>
        <v/>
      </c>
      <c r="AB68" s="21">
        <f>IF($A68="","",SUMIF('OTROS COMPONENTES'!$A$4:$A$200,$A68,'OTROS COMPONENTES'!$D$4:$D$200))</f>
        <v/>
      </c>
      <c r="AC68" s="21">
        <f>IF($A68="","",SUMIF('OTROS COMPONENTES'!$A$4:$A$200,$A68,'OTROS COMPONENTES'!$E$4:$E$200))</f>
        <v/>
      </c>
      <c r="AD68" s="21">
        <f>IF($A68="","",ROUND(N(AB68)-N(AC68),2))</f>
        <v/>
      </c>
      <c r="AE68" s="21">
        <f>IF($A68="","",ROUND(N(P68)+N(AB68),2))</f>
        <v/>
      </c>
      <c r="AF68" s="21">
        <f>IF($A68="","",ROUND(N(Z68)+N(AC68),2))</f>
        <v/>
      </c>
      <c r="AG68" s="21">
        <f>IF($A68="","",ROUND(N(AA68)+N(AD68),2))</f>
        <v/>
      </c>
      <c r="AH68" s="9">
        <f>IF($A68="","",IF(OR($H68="Por confirmar",$H68="Cerrado"),"No","Sí"))</f>
        <v/>
      </c>
      <c r="AI68" s="21">
        <f>IF($A68="","",IF(AH68="No",0,IF(RESUMEN!$B$4="Saldo por pagar al fabricante",AA68,IF(RESUMEN!$B$4="Monto completo del pedido",P68,IF(OR($H68="Embarcando",$H68="Embarcado"),N(AA68),N(P68))))))</f>
        <v/>
      </c>
      <c r="AJ68" s="9">
        <f>IF($A68="","",IF(COUNTIF($A$4:$A$200,$A68)&gt;1,"ID_Pedido repetido",IF(N($P68)&lt;=0,"Falta el costo del fabricante",IF($F68="","Falta el proyecto",IF($G68="","Falta el cliente",IF(AND($H68&lt;&gt;"Por confirmar",N($R68)&gt;0,$T68=""),"Falta el estado del anticipo",IF(AND($H68&lt;&gt;"Por confirmar",N($V68)&gt;0,$X68=""),"Falta el estado del balance",IF($E68&gt;1,""&amp;$E68&amp;" equipos en una fila: pártela en una por proyecto",IF(AND($X68="Pendiente",N($V68)&gt;0,$W68=""),"Falta la fecha en que vence el balance",IF(AND($H68&lt;&gt;"Por confirmar",$H68&lt;&gt;"Cerrado",$AI68=0),"Consume 0 de cupo pero no está Por confirmar",""))))))))))</f>
        <v/>
      </c>
      <c r="AK68" s="4" t="n"/>
    </row>
    <row r="69">
      <c r="A69" s="4" t="n"/>
      <c r="B69" s="4" t="n"/>
      <c r="C69" s="4" t="n"/>
      <c r="D69" s="4" t="n"/>
      <c r="E69" s="4" t="n"/>
      <c r="F69" s="4" t="n"/>
      <c r="G69" s="4" t="n"/>
      <c r="H69" s="4" t="n"/>
      <c r="I69" s="5" t="n"/>
      <c r="J69" s="5" t="n"/>
      <c r="K69" s="5" t="n"/>
      <c r="L69" s="5" t="n"/>
      <c r="M69" s="5" t="n"/>
      <c r="N69" s="4" t="n"/>
      <c r="O69" s="4" t="n"/>
      <c r="P69" s="20" t="n"/>
      <c r="Q69" s="30" t="n"/>
      <c r="R69" s="21">
        <f>IF($A69="","",ROUND(P69*Q69,2))</f>
        <v/>
      </c>
      <c r="S69" s="5" t="n"/>
      <c r="T69" s="4" t="n"/>
      <c r="U69" s="5" t="n"/>
      <c r="V69" s="21">
        <f>IF($A69="","",ROUND(P69-R69,2))</f>
        <v/>
      </c>
      <c r="W69" s="5" t="n"/>
      <c r="X69" s="4" t="n"/>
      <c r="Y69" s="5" t="n"/>
      <c r="Z69" s="21">
        <f>IF($A69="","",IF(T69="Pagado",N(R69),0)+IF(X69="Pagado",N(V69),0))</f>
        <v/>
      </c>
      <c r="AA69" s="21">
        <f>IF($A69="","",ROUND(N(P69)-N(Z69),2))</f>
        <v/>
      </c>
      <c r="AB69" s="21">
        <f>IF($A69="","",SUMIF('OTROS COMPONENTES'!$A$4:$A$200,$A69,'OTROS COMPONENTES'!$D$4:$D$200))</f>
        <v/>
      </c>
      <c r="AC69" s="21">
        <f>IF($A69="","",SUMIF('OTROS COMPONENTES'!$A$4:$A$200,$A69,'OTROS COMPONENTES'!$E$4:$E$200))</f>
        <v/>
      </c>
      <c r="AD69" s="21">
        <f>IF($A69="","",ROUND(N(AB69)-N(AC69),2))</f>
        <v/>
      </c>
      <c r="AE69" s="21">
        <f>IF($A69="","",ROUND(N(P69)+N(AB69),2))</f>
        <v/>
      </c>
      <c r="AF69" s="21">
        <f>IF($A69="","",ROUND(N(Z69)+N(AC69),2))</f>
        <v/>
      </c>
      <c r="AG69" s="21">
        <f>IF($A69="","",ROUND(N(AA69)+N(AD69),2))</f>
        <v/>
      </c>
      <c r="AH69" s="9">
        <f>IF($A69="","",IF(OR($H69="Por confirmar",$H69="Cerrado"),"No","Sí"))</f>
        <v/>
      </c>
      <c r="AI69" s="21">
        <f>IF($A69="","",IF(AH69="No",0,IF(RESUMEN!$B$4="Saldo por pagar al fabricante",AA69,IF(RESUMEN!$B$4="Monto completo del pedido",P69,IF(OR($H69="Embarcando",$H69="Embarcado"),N(AA69),N(P69))))))</f>
        <v/>
      </c>
      <c r="AJ69" s="9">
        <f>IF($A69="","",IF(COUNTIF($A$4:$A$200,$A69)&gt;1,"ID_Pedido repetido",IF(N($P69)&lt;=0,"Falta el costo del fabricante",IF($F69="","Falta el proyecto",IF($G69="","Falta el cliente",IF(AND($H69&lt;&gt;"Por confirmar",N($R69)&gt;0,$T69=""),"Falta el estado del anticipo",IF(AND($H69&lt;&gt;"Por confirmar",N($V69)&gt;0,$X69=""),"Falta el estado del balance",IF($E69&gt;1,""&amp;$E69&amp;" equipos en una fila: pártela en una por proyecto",IF(AND($X69="Pendiente",N($V69)&gt;0,$W69=""),"Falta la fecha en que vence el balance",IF(AND($H69&lt;&gt;"Por confirmar",$H69&lt;&gt;"Cerrado",$AI69=0),"Consume 0 de cupo pero no está Por confirmar",""))))))))))</f>
        <v/>
      </c>
      <c r="AK69" s="4" t="n"/>
    </row>
    <row r="70">
      <c r="A70" s="4" t="n"/>
      <c r="B70" s="4" t="n"/>
      <c r="C70" s="4" t="n"/>
      <c r="D70" s="4" t="n"/>
      <c r="E70" s="4" t="n"/>
      <c r="F70" s="4" t="n"/>
      <c r="G70" s="4" t="n"/>
      <c r="H70" s="4" t="n"/>
      <c r="I70" s="5" t="n"/>
      <c r="J70" s="5" t="n"/>
      <c r="K70" s="5" t="n"/>
      <c r="L70" s="5" t="n"/>
      <c r="M70" s="5" t="n"/>
      <c r="N70" s="4" t="n"/>
      <c r="O70" s="4" t="n"/>
      <c r="P70" s="20" t="n"/>
      <c r="Q70" s="30" t="n"/>
      <c r="R70" s="21">
        <f>IF($A70="","",ROUND(P70*Q70,2))</f>
        <v/>
      </c>
      <c r="S70" s="5" t="n"/>
      <c r="T70" s="4" t="n"/>
      <c r="U70" s="5" t="n"/>
      <c r="V70" s="21">
        <f>IF($A70="","",ROUND(P70-R70,2))</f>
        <v/>
      </c>
      <c r="W70" s="5" t="n"/>
      <c r="X70" s="4" t="n"/>
      <c r="Y70" s="5" t="n"/>
      <c r="Z70" s="21">
        <f>IF($A70="","",IF(T70="Pagado",N(R70),0)+IF(X70="Pagado",N(V70),0))</f>
        <v/>
      </c>
      <c r="AA70" s="21">
        <f>IF($A70="","",ROUND(N(P70)-N(Z70),2))</f>
        <v/>
      </c>
      <c r="AB70" s="21">
        <f>IF($A70="","",SUMIF('OTROS COMPONENTES'!$A$4:$A$200,$A70,'OTROS COMPONENTES'!$D$4:$D$200))</f>
        <v/>
      </c>
      <c r="AC70" s="21">
        <f>IF($A70="","",SUMIF('OTROS COMPONENTES'!$A$4:$A$200,$A70,'OTROS COMPONENTES'!$E$4:$E$200))</f>
        <v/>
      </c>
      <c r="AD70" s="21">
        <f>IF($A70="","",ROUND(N(AB70)-N(AC70),2))</f>
        <v/>
      </c>
      <c r="AE70" s="21">
        <f>IF($A70="","",ROUND(N(P70)+N(AB70),2))</f>
        <v/>
      </c>
      <c r="AF70" s="21">
        <f>IF($A70="","",ROUND(N(Z70)+N(AC70),2))</f>
        <v/>
      </c>
      <c r="AG70" s="21">
        <f>IF($A70="","",ROUND(N(AA70)+N(AD70),2))</f>
        <v/>
      </c>
      <c r="AH70" s="9">
        <f>IF($A70="","",IF(OR($H70="Por confirmar",$H70="Cerrado"),"No","Sí"))</f>
        <v/>
      </c>
      <c r="AI70" s="21">
        <f>IF($A70="","",IF(AH70="No",0,IF(RESUMEN!$B$4="Saldo por pagar al fabricante",AA70,IF(RESUMEN!$B$4="Monto completo del pedido",P70,IF(OR($H70="Embarcando",$H70="Embarcado"),N(AA70),N(P70))))))</f>
        <v/>
      </c>
      <c r="AJ70" s="9">
        <f>IF($A70="","",IF(COUNTIF($A$4:$A$200,$A70)&gt;1,"ID_Pedido repetido",IF(N($P70)&lt;=0,"Falta el costo del fabricante",IF($F70="","Falta el proyecto",IF($G70="","Falta el cliente",IF(AND($H70&lt;&gt;"Por confirmar",N($R70)&gt;0,$T70=""),"Falta el estado del anticipo",IF(AND($H70&lt;&gt;"Por confirmar",N($V70)&gt;0,$X70=""),"Falta el estado del balance",IF($E70&gt;1,""&amp;$E70&amp;" equipos en una fila: pártela en una por proyecto",IF(AND($X70="Pendiente",N($V70)&gt;0,$W70=""),"Falta la fecha en que vence el balance",IF(AND($H70&lt;&gt;"Por confirmar",$H70&lt;&gt;"Cerrado",$AI70=0),"Consume 0 de cupo pero no está Por confirmar",""))))))))))</f>
        <v/>
      </c>
      <c r="AK70" s="4" t="n"/>
    </row>
    <row r="71">
      <c r="A71" s="4" t="n"/>
      <c r="B71" s="4" t="n"/>
      <c r="C71" s="4" t="n"/>
      <c r="D71" s="4" t="n"/>
      <c r="E71" s="4" t="n"/>
      <c r="F71" s="4" t="n"/>
      <c r="G71" s="4" t="n"/>
      <c r="H71" s="4" t="n"/>
      <c r="I71" s="5" t="n"/>
      <c r="J71" s="5" t="n"/>
      <c r="K71" s="5" t="n"/>
      <c r="L71" s="5" t="n"/>
      <c r="M71" s="5" t="n"/>
      <c r="N71" s="4" t="n"/>
      <c r="O71" s="4" t="n"/>
      <c r="P71" s="20" t="n"/>
      <c r="Q71" s="30" t="n"/>
      <c r="R71" s="21">
        <f>IF($A71="","",ROUND(P71*Q71,2))</f>
        <v/>
      </c>
      <c r="S71" s="5" t="n"/>
      <c r="T71" s="4" t="n"/>
      <c r="U71" s="5" t="n"/>
      <c r="V71" s="21">
        <f>IF($A71="","",ROUND(P71-R71,2))</f>
        <v/>
      </c>
      <c r="W71" s="5" t="n"/>
      <c r="X71" s="4" t="n"/>
      <c r="Y71" s="5" t="n"/>
      <c r="Z71" s="21">
        <f>IF($A71="","",IF(T71="Pagado",N(R71),0)+IF(X71="Pagado",N(V71),0))</f>
        <v/>
      </c>
      <c r="AA71" s="21">
        <f>IF($A71="","",ROUND(N(P71)-N(Z71),2))</f>
        <v/>
      </c>
      <c r="AB71" s="21">
        <f>IF($A71="","",SUMIF('OTROS COMPONENTES'!$A$4:$A$200,$A71,'OTROS COMPONENTES'!$D$4:$D$200))</f>
        <v/>
      </c>
      <c r="AC71" s="21">
        <f>IF($A71="","",SUMIF('OTROS COMPONENTES'!$A$4:$A$200,$A71,'OTROS COMPONENTES'!$E$4:$E$200))</f>
        <v/>
      </c>
      <c r="AD71" s="21">
        <f>IF($A71="","",ROUND(N(AB71)-N(AC71),2))</f>
        <v/>
      </c>
      <c r="AE71" s="21">
        <f>IF($A71="","",ROUND(N(P71)+N(AB71),2))</f>
        <v/>
      </c>
      <c r="AF71" s="21">
        <f>IF($A71="","",ROUND(N(Z71)+N(AC71),2))</f>
        <v/>
      </c>
      <c r="AG71" s="21">
        <f>IF($A71="","",ROUND(N(AA71)+N(AD71),2))</f>
        <v/>
      </c>
      <c r="AH71" s="9">
        <f>IF($A71="","",IF(OR($H71="Por confirmar",$H71="Cerrado"),"No","Sí"))</f>
        <v/>
      </c>
      <c r="AI71" s="21">
        <f>IF($A71="","",IF(AH71="No",0,IF(RESUMEN!$B$4="Saldo por pagar al fabricante",AA71,IF(RESUMEN!$B$4="Monto completo del pedido",P71,IF(OR($H71="Embarcando",$H71="Embarcado"),N(AA71),N(P71))))))</f>
        <v/>
      </c>
      <c r="AJ71" s="9">
        <f>IF($A71="","",IF(COUNTIF($A$4:$A$200,$A71)&gt;1,"ID_Pedido repetido",IF(N($P71)&lt;=0,"Falta el costo del fabricante",IF($F71="","Falta el proyecto",IF($G71="","Falta el cliente",IF(AND($H71&lt;&gt;"Por confirmar",N($R71)&gt;0,$T71=""),"Falta el estado del anticipo",IF(AND($H71&lt;&gt;"Por confirmar",N($V71)&gt;0,$X71=""),"Falta el estado del balance",IF($E71&gt;1,""&amp;$E71&amp;" equipos en una fila: pártela en una por proyecto",IF(AND($X71="Pendiente",N($V71)&gt;0,$W71=""),"Falta la fecha en que vence el balance",IF(AND($H71&lt;&gt;"Por confirmar",$H71&lt;&gt;"Cerrado",$AI71=0),"Consume 0 de cupo pero no está Por confirmar",""))))))))))</f>
        <v/>
      </c>
      <c r="AK71" s="4" t="n"/>
    </row>
    <row r="72">
      <c r="A72" s="4" t="n"/>
      <c r="B72" s="4" t="n"/>
      <c r="C72" s="4" t="n"/>
      <c r="D72" s="4" t="n"/>
      <c r="E72" s="4" t="n"/>
      <c r="F72" s="4" t="n"/>
      <c r="G72" s="4" t="n"/>
      <c r="H72" s="4" t="n"/>
      <c r="I72" s="5" t="n"/>
      <c r="J72" s="5" t="n"/>
      <c r="K72" s="5" t="n"/>
      <c r="L72" s="5" t="n"/>
      <c r="M72" s="5" t="n"/>
      <c r="N72" s="4" t="n"/>
      <c r="O72" s="4" t="n"/>
      <c r="P72" s="20" t="n"/>
      <c r="Q72" s="30" t="n"/>
      <c r="R72" s="21">
        <f>IF($A72="","",ROUND(P72*Q72,2))</f>
        <v/>
      </c>
      <c r="S72" s="5" t="n"/>
      <c r="T72" s="4" t="n"/>
      <c r="U72" s="5" t="n"/>
      <c r="V72" s="21">
        <f>IF($A72="","",ROUND(P72-R72,2))</f>
        <v/>
      </c>
      <c r="W72" s="5" t="n"/>
      <c r="X72" s="4" t="n"/>
      <c r="Y72" s="5" t="n"/>
      <c r="Z72" s="21">
        <f>IF($A72="","",IF(T72="Pagado",N(R72),0)+IF(X72="Pagado",N(V72),0))</f>
        <v/>
      </c>
      <c r="AA72" s="21">
        <f>IF($A72="","",ROUND(N(P72)-N(Z72),2))</f>
        <v/>
      </c>
      <c r="AB72" s="21">
        <f>IF($A72="","",SUMIF('OTROS COMPONENTES'!$A$4:$A$200,$A72,'OTROS COMPONENTES'!$D$4:$D$200))</f>
        <v/>
      </c>
      <c r="AC72" s="21">
        <f>IF($A72="","",SUMIF('OTROS COMPONENTES'!$A$4:$A$200,$A72,'OTROS COMPONENTES'!$E$4:$E$200))</f>
        <v/>
      </c>
      <c r="AD72" s="21">
        <f>IF($A72="","",ROUND(N(AB72)-N(AC72),2))</f>
        <v/>
      </c>
      <c r="AE72" s="21">
        <f>IF($A72="","",ROUND(N(P72)+N(AB72),2))</f>
        <v/>
      </c>
      <c r="AF72" s="21">
        <f>IF($A72="","",ROUND(N(Z72)+N(AC72),2))</f>
        <v/>
      </c>
      <c r="AG72" s="21">
        <f>IF($A72="","",ROUND(N(AA72)+N(AD72),2))</f>
        <v/>
      </c>
      <c r="AH72" s="9">
        <f>IF($A72="","",IF(OR($H72="Por confirmar",$H72="Cerrado"),"No","Sí"))</f>
        <v/>
      </c>
      <c r="AI72" s="21">
        <f>IF($A72="","",IF(AH72="No",0,IF(RESUMEN!$B$4="Saldo por pagar al fabricante",AA72,IF(RESUMEN!$B$4="Monto completo del pedido",P72,IF(OR($H72="Embarcando",$H72="Embarcado"),N(AA72),N(P72))))))</f>
        <v/>
      </c>
      <c r="AJ72" s="9">
        <f>IF($A72="","",IF(COUNTIF($A$4:$A$200,$A72)&gt;1,"ID_Pedido repetido",IF(N($P72)&lt;=0,"Falta el costo del fabricante",IF($F72="","Falta el proyecto",IF($G72="","Falta el cliente",IF(AND($H72&lt;&gt;"Por confirmar",N($R72)&gt;0,$T72=""),"Falta el estado del anticipo",IF(AND($H72&lt;&gt;"Por confirmar",N($V72)&gt;0,$X72=""),"Falta el estado del balance",IF($E72&gt;1,""&amp;$E72&amp;" equipos en una fila: pártela en una por proyecto",IF(AND($X72="Pendiente",N($V72)&gt;0,$W72=""),"Falta la fecha en que vence el balance",IF(AND($H72&lt;&gt;"Por confirmar",$H72&lt;&gt;"Cerrado",$AI72=0),"Consume 0 de cupo pero no está Por confirmar",""))))))))))</f>
        <v/>
      </c>
      <c r="AK72" s="4" t="n"/>
    </row>
    <row r="73">
      <c r="A73" s="4" t="n"/>
      <c r="B73" s="4" t="n"/>
      <c r="C73" s="4" t="n"/>
      <c r="D73" s="4" t="n"/>
      <c r="E73" s="4" t="n"/>
      <c r="F73" s="4" t="n"/>
      <c r="G73" s="4" t="n"/>
      <c r="H73" s="4" t="n"/>
      <c r="I73" s="5" t="n"/>
      <c r="J73" s="5" t="n"/>
      <c r="K73" s="5" t="n"/>
      <c r="L73" s="5" t="n"/>
      <c r="M73" s="5" t="n"/>
      <c r="N73" s="4" t="n"/>
      <c r="O73" s="4" t="n"/>
      <c r="P73" s="20" t="n"/>
      <c r="Q73" s="30" t="n"/>
      <c r="R73" s="21">
        <f>IF($A73="","",ROUND(P73*Q73,2))</f>
        <v/>
      </c>
      <c r="S73" s="5" t="n"/>
      <c r="T73" s="4" t="n"/>
      <c r="U73" s="5" t="n"/>
      <c r="V73" s="21">
        <f>IF($A73="","",ROUND(P73-R73,2))</f>
        <v/>
      </c>
      <c r="W73" s="5" t="n"/>
      <c r="X73" s="4" t="n"/>
      <c r="Y73" s="5" t="n"/>
      <c r="Z73" s="21">
        <f>IF($A73="","",IF(T73="Pagado",N(R73),0)+IF(X73="Pagado",N(V73),0))</f>
        <v/>
      </c>
      <c r="AA73" s="21">
        <f>IF($A73="","",ROUND(N(P73)-N(Z73),2))</f>
        <v/>
      </c>
      <c r="AB73" s="21">
        <f>IF($A73="","",SUMIF('OTROS COMPONENTES'!$A$4:$A$200,$A73,'OTROS COMPONENTES'!$D$4:$D$200))</f>
        <v/>
      </c>
      <c r="AC73" s="21">
        <f>IF($A73="","",SUMIF('OTROS COMPONENTES'!$A$4:$A$200,$A73,'OTROS COMPONENTES'!$E$4:$E$200))</f>
        <v/>
      </c>
      <c r="AD73" s="21">
        <f>IF($A73="","",ROUND(N(AB73)-N(AC73),2))</f>
        <v/>
      </c>
      <c r="AE73" s="21">
        <f>IF($A73="","",ROUND(N(P73)+N(AB73),2))</f>
        <v/>
      </c>
      <c r="AF73" s="21">
        <f>IF($A73="","",ROUND(N(Z73)+N(AC73),2))</f>
        <v/>
      </c>
      <c r="AG73" s="21">
        <f>IF($A73="","",ROUND(N(AA73)+N(AD73),2))</f>
        <v/>
      </c>
      <c r="AH73" s="9">
        <f>IF($A73="","",IF(OR($H73="Por confirmar",$H73="Cerrado"),"No","Sí"))</f>
        <v/>
      </c>
      <c r="AI73" s="21">
        <f>IF($A73="","",IF(AH73="No",0,IF(RESUMEN!$B$4="Saldo por pagar al fabricante",AA73,IF(RESUMEN!$B$4="Monto completo del pedido",P73,IF(OR($H73="Embarcando",$H73="Embarcado"),N(AA73),N(P73))))))</f>
        <v/>
      </c>
      <c r="AJ73" s="9">
        <f>IF($A73="","",IF(COUNTIF($A$4:$A$200,$A73)&gt;1,"ID_Pedido repetido",IF(N($P73)&lt;=0,"Falta el costo del fabricante",IF($F73="","Falta el proyecto",IF($G73="","Falta el cliente",IF(AND($H73&lt;&gt;"Por confirmar",N($R73)&gt;0,$T73=""),"Falta el estado del anticipo",IF(AND($H73&lt;&gt;"Por confirmar",N($V73)&gt;0,$X73=""),"Falta el estado del balance",IF($E73&gt;1,""&amp;$E73&amp;" equipos en una fila: pártela en una por proyecto",IF(AND($X73="Pendiente",N($V73)&gt;0,$W73=""),"Falta la fecha en que vence el balance",IF(AND($H73&lt;&gt;"Por confirmar",$H73&lt;&gt;"Cerrado",$AI73=0),"Consume 0 de cupo pero no está Por confirmar",""))))))))))</f>
        <v/>
      </c>
      <c r="AK73" s="4" t="n"/>
    </row>
    <row r="74">
      <c r="A74" s="4" t="n"/>
      <c r="B74" s="4" t="n"/>
      <c r="C74" s="4" t="n"/>
      <c r="D74" s="4" t="n"/>
      <c r="E74" s="4" t="n"/>
      <c r="F74" s="4" t="n"/>
      <c r="G74" s="4" t="n"/>
      <c r="H74" s="4" t="n"/>
      <c r="I74" s="5" t="n"/>
      <c r="J74" s="5" t="n"/>
      <c r="K74" s="5" t="n"/>
      <c r="L74" s="5" t="n"/>
      <c r="M74" s="5" t="n"/>
      <c r="N74" s="4" t="n"/>
      <c r="O74" s="4" t="n"/>
      <c r="P74" s="20" t="n"/>
      <c r="Q74" s="30" t="n"/>
      <c r="R74" s="21">
        <f>IF($A74="","",ROUND(P74*Q74,2))</f>
        <v/>
      </c>
      <c r="S74" s="5" t="n"/>
      <c r="T74" s="4" t="n"/>
      <c r="U74" s="5" t="n"/>
      <c r="V74" s="21">
        <f>IF($A74="","",ROUND(P74-R74,2))</f>
        <v/>
      </c>
      <c r="W74" s="5" t="n"/>
      <c r="X74" s="4" t="n"/>
      <c r="Y74" s="5" t="n"/>
      <c r="Z74" s="21">
        <f>IF($A74="","",IF(T74="Pagado",N(R74),0)+IF(X74="Pagado",N(V74),0))</f>
        <v/>
      </c>
      <c r="AA74" s="21">
        <f>IF($A74="","",ROUND(N(P74)-N(Z74),2))</f>
        <v/>
      </c>
      <c r="AB74" s="21">
        <f>IF($A74="","",SUMIF('OTROS COMPONENTES'!$A$4:$A$200,$A74,'OTROS COMPONENTES'!$D$4:$D$200))</f>
        <v/>
      </c>
      <c r="AC74" s="21">
        <f>IF($A74="","",SUMIF('OTROS COMPONENTES'!$A$4:$A$200,$A74,'OTROS COMPONENTES'!$E$4:$E$200))</f>
        <v/>
      </c>
      <c r="AD74" s="21">
        <f>IF($A74="","",ROUND(N(AB74)-N(AC74),2))</f>
        <v/>
      </c>
      <c r="AE74" s="21">
        <f>IF($A74="","",ROUND(N(P74)+N(AB74),2))</f>
        <v/>
      </c>
      <c r="AF74" s="21">
        <f>IF($A74="","",ROUND(N(Z74)+N(AC74),2))</f>
        <v/>
      </c>
      <c r="AG74" s="21">
        <f>IF($A74="","",ROUND(N(AA74)+N(AD74),2))</f>
        <v/>
      </c>
      <c r="AH74" s="9">
        <f>IF($A74="","",IF(OR($H74="Por confirmar",$H74="Cerrado"),"No","Sí"))</f>
        <v/>
      </c>
      <c r="AI74" s="21">
        <f>IF($A74="","",IF(AH74="No",0,IF(RESUMEN!$B$4="Saldo por pagar al fabricante",AA74,IF(RESUMEN!$B$4="Monto completo del pedido",P74,IF(OR($H74="Embarcando",$H74="Embarcado"),N(AA74),N(P74))))))</f>
        <v/>
      </c>
      <c r="AJ74" s="9">
        <f>IF($A74="","",IF(COUNTIF($A$4:$A$200,$A74)&gt;1,"ID_Pedido repetido",IF(N($P74)&lt;=0,"Falta el costo del fabricante",IF($F74="","Falta el proyecto",IF($G74="","Falta el cliente",IF(AND($H74&lt;&gt;"Por confirmar",N($R74)&gt;0,$T74=""),"Falta el estado del anticipo",IF(AND($H74&lt;&gt;"Por confirmar",N($V74)&gt;0,$X74=""),"Falta el estado del balance",IF($E74&gt;1,""&amp;$E74&amp;" equipos en una fila: pártela en una por proyecto",IF(AND($X74="Pendiente",N($V74)&gt;0,$W74=""),"Falta la fecha en que vence el balance",IF(AND($H74&lt;&gt;"Por confirmar",$H74&lt;&gt;"Cerrado",$AI74=0),"Consume 0 de cupo pero no está Por confirmar",""))))))))))</f>
        <v/>
      </c>
      <c r="AK74" s="4" t="n"/>
    </row>
    <row r="75">
      <c r="A75" s="4" t="n"/>
      <c r="B75" s="4" t="n"/>
      <c r="C75" s="4" t="n"/>
      <c r="D75" s="4" t="n"/>
      <c r="E75" s="4" t="n"/>
      <c r="F75" s="4" t="n"/>
      <c r="G75" s="4" t="n"/>
      <c r="H75" s="4" t="n"/>
      <c r="I75" s="5" t="n"/>
      <c r="J75" s="5" t="n"/>
      <c r="K75" s="5" t="n"/>
      <c r="L75" s="5" t="n"/>
      <c r="M75" s="5" t="n"/>
      <c r="N75" s="4" t="n"/>
      <c r="O75" s="4" t="n"/>
      <c r="P75" s="20" t="n"/>
      <c r="Q75" s="30" t="n"/>
      <c r="R75" s="21">
        <f>IF($A75="","",ROUND(P75*Q75,2))</f>
        <v/>
      </c>
      <c r="S75" s="5" t="n"/>
      <c r="T75" s="4" t="n"/>
      <c r="U75" s="5" t="n"/>
      <c r="V75" s="21">
        <f>IF($A75="","",ROUND(P75-R75,2))</f>
        <v/>
      </c>
      <c r="W75" s="5" t="n"/>
      <c r="X75" s="4" t="n"/>
      <c r="Y75" s="5" t="n"/>
      <c r="Z75" s="21">
        <f>IF($A75="","",IF(T75="Pagado",N(R75),0)+IF(X75="Pagado",N(V75),0))</f>
        <v/>
      </c>
      <c r="AA75" s="21">
        <f>IF($A75="","",ROUND(N(P75)-N(Z75),2))</f>
        <v/>
      </c>
      <c r="AB75" s="21">
        <f>IF($A75="","",SUMIF('OTROS COMPONENTES'!$A$4:$A$200,$A75,'OTROS COMPONENTES'!$D$4:$D$200))</f>
        <v/>
      </c>
      <c r="AC75" s="21">
        <f>IF($A75="","",SUMIF('OTROS COMPONENTES'!$A$4:$A$200,$A75,'OTROS COMPONENTES'!$E$4:$E$200))</f>
        <v/>
      </c>
      <c r="AD75" s="21">
        <f>IF($A75="","",ROUND(N(AB75)-N(AC75),2))</f>
        <v/>
      </c>
      <c r="AE75" s="21">
        <f>IF($A75="","",ROUND(N(P75)+N(AB75),2))</f>
        <v/>
      </c>
      <c r="AF75" s="21">
        <f>IF($A75="","",ROUND(N(Z75)+N(AC75),2))</f>
        <v/>
      </c>
      <c r="AG75" s="21">
        <f>IF($A75="","",ROUND(N(AA75)+N(AD75),2))</f>
        <v/>
      </c>
      <c r="AH75" s="9">
        <f>IF($A75="","",IF(OR($H75="Por confirmar",$H75="Cerrado"),"No","Sí"))</f>
        <v/>
      </c>
      <c r="AI75" s="21">
        <f>IF($A75="","",IF(AH75="No",0,IF(RESUMEN!$B$4="Saldo por pagar al fabricante",AA75,IF(RESUMEN!$B$4="Monto completo del pedido",P75,IF(OR($H75="Embarcando",$H75="Embarcado"),N(AA75),N(P75))))))</f>
        <v/>
      </c>
      <c r="AJ75" s="9">
        <f>IF($A75="","",IF(COUNTIF($A$4:$A$200,$A75)&gt;1,"ID_Pedido repetido",IF(N($P75)&lt;=0,"Falta el costo del fabricante",IF($F75="","Falta el proyecto",IF($G75="","Falta el cliente",IF(AND($H75&lt;&gt;"Por confirmar",N($R75)&gt;0,$T75=""),"Falta el estado del anticipo",IF(AND($H75&lt;&gt;"Por confirmar",N($V75)&gt;0,$X75=""),"Falta el estado del balance",IF($E75&gt;1,""&amp;$E75&amp;" equipos en una fila: pártela en una por proyecto",IF(AND($X75="Pendiente",N($V75)&gt;0,$W75=""),"Falta la fecha en que vence el balance",IF(AND($H75&lt;&gt;"Por confirmar",$H75&lt;&gt;"Cerrado",$AI75=0),"Consume 0 de cupo pero no está Por confirmar",""))))))))))</f>
        <v/>
      </c>
      <c r="AK75" s="4" t="n"/>
    </row>
    <row r="76">
      <c r="A76" s="4" t="n"/>
      <c r="B76" s="4" t="n"/>
      <c r="C76" s="4" t="n"/>
      <c r="D76" s="4" t="n"/>
      <c r="E76" s="4" t="n"/>
      <c r="F76" s="4" t="n"/>
      <c r="G76" s="4" t="n"/>
      <c r="H76" s="4" t="n"/>
      <c r="I76" s="5" t="n"/>
      <c r="J76" s="5" t="n"/>
      <c r="K76" s="5" t="n"/>
      <c r="L76" s="5" t="n"/>
      <c r="M76" s="5" t="n"/>
      <c r="N76" s="4" t="n"/>
      <c r="O76" s="4" t="n"/>
      <c r="P76" s="20" t="n"/>
      <c r="Q76" s="30" t="n"/>
      <c r="R76" s="21">
        <f>IF($A76="","",ROUND(P76*Q76,2))</f>
        <v/>
      </c>
      <c r="S76" s="5" t="n"/>
      <c r="T76" s="4" t="n"/>
      <c r="U76" s="5" t="n"/>
      <c r="V76" s="21">
        <f>IF($A76="","",ROUND(P76-R76,2))</f>
        <v/>
      </c>
      <c r="W76" s="5" t="n"/>
      <c r="X76" s="4" t="n"/>
      <c r="Y76" s="5" t="n"/>
      <c r="Z76" s="21">
        <f>IF($A76="","",IF(T76="Pagado",N(R76),0)+IF(X76="Pagado",N(V76),0))</f>
        <v/>
      </c>
      <c r="AA76" s="21">
        <f>IF($A76="","",ROUND(N(P76)-N(Z76),2))</f>
        <v/>
      </c>
      <c r="AB76" s="21">
        <f>IF($A76="","",SUMIF('OTROS COMPONENTES'!$A$4:$A$200,$A76,'OTROS COMPONENTES'!$D$4:$D$200))</f>
        <v/>
      </c>
      <c r="AC76" s="21">
        <f>IF($A76="","",SUMIF('OTROS COMPONENTES'!$A$4:$A$200,$A76,'OTROS COMPONENTES'!$E$4:$E$200))</f>
        <v/>
      </c>
      <c r="AD76" s="21">
        <f>IF($A76="","",ROUND(N(AB76)-N(AC76),2))</f>
        <v/>
      </c>
      <c r="AE76" s="21">
        <f>IF($A76="","",ROUND(N(P76)+N(AB76),2))</f>
        <v/>
      </c>
      <c r="AF76" s="21">
        <f>IF($A76="","",ROUND(N(Z76)+N(AC76),2))</f>
        <v/>
      </c>
      <c r="AG76" s="21">
        <f>IF($A76="","",ROUND(N(AA76)+N(AD76),2))</f>
        <v/>
      </c>
      <c r="AH76" s="9">
        <f>IF($A76="","",IF(OR($H76="Por confirmar",$H76="Cerrado"),"No","Sí"))</f>
        <v/>
      </c>
      <c r="AI76" s="21">
        <f>IF($A76="","",IF(AH76="No",0,IF(RESUMEN!$B$4="Saldo por pagar al fabricante",AA76,IF(RESUMEN!$B$4="Monto completo del pedido",P76,IF(OR($H76="Embarcando",$H76="Embarcado"),N(AA76),N(P76))))))</f>
        <v/>
      </c>
      <c r="AJ76" s="9">
        <f>IF($A76="","",IF(COUNTIF($A$4:$A$200,$A76)&gt;1,"ID_Pedido repetido",IF(N($P76)&lt;=0,"Falta el costo del fabricante",IF($F76="","Falta el proyecto",IF($G76="","Falta el cliente",IF(AND($H76&lt;&gt;"Por confirmar",N($R76)&gt;0,$T76=""),"Falta el estado del anticipo",IF(AND($H76&lt;&gt;"Por confirmar",N($V76)&gt;0,$X76=""),"Falta el estado del balance",IF($E76&gt;1,""&amp;$E76&amp;" equipos en una fila: pártela en una por proyecto",IF(AND($X76="Pendiente",N($V76)&gt;0,$W76=""),"Falta la fecha en que vence el balance",IF(AND($H76&lt;&gt;"Por confirmar",$H76&lt;&gt;"Cerrado",$AI76=0),"Consume 0 de cupo pero no está Por confirmar",""))))))))))</f>
        <v/>
      </c>
      <c r="AK76" s="4" t="n"/>
    </row>
    <row r="77">
      <c r="A77" s="4" t="n"/>
      <c r="B77" s="4" t="n"/>
      <c r="C77" s="4" t="n"/>
      <c r="D77" s="4" t="n"/>
      <c r="E77" s="4" t="n"/>
      <c r="F77" s="4" t="n"/>
      <c r="G77" s="4" t="n"/>
      <c r="H77" s="4" t="n"/>
      <c r="I77" s="5" t="n"/>
      <c r="J77" s="5" t="n"/>
      <c r="K77" s="5" t="n"/>
      <c r="L77" s="5" t="n"/>
      <c r="M77" s="5" t="n"/>
      <c r="N77" s="4" t="n"/>
      <c r="O77" s="4" t="n"/>
      <c r="P77" s="20" t="n"/>
      <c r="Q77" s="30" t="n"/>
      <c r="R77" s="21">
        <f>IF($A77="","",ROUND(P77*Q77,2))</f>
        <v/>
      </c>
      <c r="S77" s="5" t="n"/>
      <c r="T77" s="4" t="n"/>
      <c r="U77" s="5" t="n"/>
      <c r="V77" s="21">
        <f>IF($A77="","",ROUND(P77-R77,2))</f>
        <v/>
      </c>
      <c r="W77" s="5" t="n"/>
      <c r="X77" s="4" t="n"/>
      <c r="Y77" s="5" t="n"/>
      <c r="Z77" s="21">
        <f>IF($A77="","",IF(T77="Pagado",N(R77),0)+IF(X77="Pagado",N(V77),0))</f>
        <v/>
      </c>
      <c r="AA77" s="21">
        <f>IF($A77="","",ROUND(N(P77)-N(Z77),2))</f>
        <v/>
      </c>
      <c r="AB77" s="21">
        <f>IF($A77="","",SUMIF('OTROS COMPONENTES'!$A$4:$A$200,$A77,'OTROS COMPONENTES'!$D$4:$D$200))</f>
        <v/>
      </c>
      <c r="AC77" s="21">
        <f>IF($A77="","",SUMIF('OTROS COMPONENTES'!$A$4:$A$200,$A77,'OTROS COMPONENTES'!$E$4:$E$200))</f>
        <v/>
      </c>
      <c r="AD77" s="21">
        <f>IF($A77="","",ROUND(N(AB77)-N(AC77),2))</f>
        <v/>
      </c>
      <c r="AE77" s="21">
        <f>IF($A77="","",ROUND(N(P77)+N(AB77),2))</f>
        <v/>
      </c>
      <c r="AF77" s="21">
        <f>IF($A77="","",ROUND(N(Z77)+N(AC77),2))</f>
        <v/>
      </c>
      <c r="AG77" s="21">
        <f>IF($A77="","",ROUND(N(AA77)+N(AD77),2))</f>
        <v/>
      </c>
      <c r="AH77" s="9">
        <f>IF($A77="","",IF(OR($H77="Por confirmar",$H77="Cerrado"),"No","Sí"))</f>
        <v/>
      </c>
      <c r="AI77" s="21">
        <f>IF($A77="","",IF(AH77="No",0,IF(RESUMEN!$B$4="Saldo por pagar al fabricante",AA77,IF(RESUMEN!$B$4="Monto completo del pedido",P77,IF(OR($H77="Embarcando",$H77="Embarcado"),N(AA77),N(P77))))))</f>
        <v/>
      </c>
      <c r="AJ77" s="9">
        <f>IF($A77="","",IF(COUNTIF($A$4:$A$200,$A77)&gt;1,"ID_Pedido repetido",IF(N($P77)&lt;=0,"Falta el costo del fabricante",IF($F77="","Falta el proyecto",IF($G77="","Falta el cliente",IF(AND($H77&lt;&gt;"Por confirmar",N($R77)&gt;0,$T77=""),"Falta el estado del anticipo",IF(AND($H77&lt;&gt;"Por confirmar",N($V77)&gt;0,$X77=""),"Falta el estado del balance",IF($E77&gt;1,""&amp;$E77&amp;" equipos en una fila: pártela en una por proyecto",IF(AND($X77="Pendiente",N($V77)&gt;0,$W77=""),"Falta la fecha en que vence el balance",IF(AND($H77&lt;&gt;"Por confirmar",$H77&lt;&gt;"Cerrado",$AI77=0),"Consume 0 de cupo pero no está Por confirmar",""))))))))))</f>
        <v/>
      </c>
      <c r="AK77" s="4" t="n"/>
    </row>
    <row r="78">
      <c r="A78" s="4" t="n"/>
      <c r="B78" s="4" t="n"/>
      <c r="C78" s="4" t="n"/>
      <c r="D78" s="4" t="n"/>
      <c r="E78" s="4" t="n"/>
      <c r="F78" s="4" t="n"/>
      <c r="G78" s="4" t="n"/>
      <c r="H78" s="4" t="n"/>
      <c r="I78" s="5" t="n"/>
      <c r="J78" s="5" t="n"/>
      <c r="K78" s="5" t="n"/>
      <c r="L78" s="5" t="n"/>
      <c r="M78" s="5" t="n"/>
      <c r="N78" s="4" t="n"/>
      <c r="O78" s="4" t="n"/>
      <c r="P78" s="20" t="n"/>
      <c r="Q78" s="30" t="n"/>
      <c r="R78" s="21">
        <f>IF($A78="","",ROUND(P78*Q78,2))</f>
        <v/>
      </c>
      <c r="S78" s="5" t="n"/>
      <c r="T78" s="4" t="n"/>
      <c r="U78" s="5" t="n"/>
      <c r="V78" s="21">
        <f>IF($A78="","",ROUND(P78-R78,2))</f>
        <v/>
      </c>
      <c r="W78" s="5" t="n"/>
      <c r="X78" s="4" t="n"/>
      <c r="Y78" s="5" t="n"/>
      <c r="Z78" s="21">
        <f>IF($A78="","",IF(T78="Pagado",N(R78),0)+IF(X78="Pagado",N(V78),0))</f>
        <v/>
      </c>
      <c r="AA78" s="21">
        <f>IF($A78="","",ROUND(N(P78)-N(Z78),2))</f>
        <v/>
      </c>
      <c r="AB78" s="21">
        <f>IF($A78="","",SUMIF('OTROS COMPONENTES'!$A$4:$A$200,$A78,'OTROS COMPONENTES'!$D$4:$D$200))</f>
        <v/>
      </c>
      <c r="AC78" s="21">
        <f>IF($A78="","",SUMIF('OTROS COMPONENTES'!$A$4:$A$200,$A78,'OTROS COMPONENTES'!$E$4:$E$200))</f>
        <v/>
      </c>
      <c r="AD78" s="21">
        <f>IF($A78="","",ROUND(N(AB78)-N(AC78),2))</f>
        <v/>
      </c>
      <c r="AE78" s="21">
        <f>IF($A78="","",ROUND(N(P78)+N(AB78),2))</f>
        <v/>
      </c>
      <c r="AF78" s="21">
        <f>IF($A78="","",ROUND(N(Z78)+N(AC78),2))</f>
        <v/>
      </c>
      <c r="AG78" s="21">
        <f>IF($A78="","",ROUND(N(AA78)+N(AD78),2))</f>
        <v/>
      </c>
      <c r="AH78" s="9">
        <f>IF($A78="","",IF(OR($H78="Por confirmar",$H78="Cerrado"),"No","Sí"))</f>
        <v/>
      </c>
      <c r="AI78" s="21">
        <f>IF($A78="","",IF(AH78="No",0,IF(RESUMEN!$B$4="Saldo por pagar al fabricante",AA78,IF(RESUMEN!$B$4="Monto completo del pedido",P78,IF(OR($H78="Embarcando",$H78="Embarcado"),N(AA78),N(P78))))))</f>
        <v/>
      </c>
      <c r="AJ78" s="9">
        <f>IF($A78="","",IF(COUNTIF($A$4:$A$200,$A78)&gt;1,"ID_Pedido repetido",IF(N($P78)&lt;=0,"Falta el costo del fabricante",IF($F78="","Falta el proyecto",IF($G78="","Falta el cliente",IF(AND($H78&lt;&gt;"Por confirmar",N($R78)&gt;0,$T78=""),"Falta el estado del anticipo",IF(AND($H78&lt;&gt;"Por confirmar",N($V78)&gt;0,$X78=""),"Falta el estado del balance",IF($E78&gt;1,""&amp;$E78&amp;" equipos en una fila: pártela en una por proyecto",IF(AND($X78="Pendiente",N($V78)&gt;0,$W78=""),"Falta la fecha en que vence el balance",IF(AND($H78&lt;&gt;"Por confirmar",$H78&lt;&gt;"Cerrado",$AI78=0),"Consume 0 de cupo pero no está Por confirmar",""))))))))))</f>
        <v/>
      </c>
      <c r="AK78" s="4" t="n"/>
    </row>
    <row r="79">
      <c r="A79" s="4" t="n"/>
      <c r="B79" s="4" t="n"/>
      <c r="C79" s="4" t="n"/>
      <c r="D79" s="4" t="n"/>
      <c r="E79" s="4" t="n"/>
      <c r="F79" s="4" t="n"/>
      <c r="G79" s="4" t="n"/>
      <c r="H79" s="4" t="n"/>
      <c r="I79" s="5" t="n"/>
      <c r="J79" s="5" t="n"/>
      <c r="K79" s="5" t="n"/>
      <c r="L79" s="5" t="n"/>
      <c r="M79" s="5" t="n"/>
      <c r="N79" s="4" t="n"/>
      <c r="O79" s="4" t="n"/>
      <c r="P79" s="20" t="n"/>
      <c r="Q79" s="30" t="n"/>
      <c r="R79" s="21">
        <f>IF($A79="","",ROUND(P79*Q79,2))</f>
        <v/>
      </c>
      <c r="S79" s="5" t="n"/>
      <c r="T79" s="4" t="n"/>
      <c r="U79" s="5" t="n"/>
      <c r="V79" s="21">
        <f>IF($A79="","",ROUND(P79-R79,2))</f>
        <v/>
      </c>
      <c r="W79" s="5" t="n"/>
      <c r="X79" s="4" t="n"/>
      <c r="Y79" s="5" t="n"/>
      <c r="Z79" s="21">
        <f>IF($A79="","",IF(T79="Pagado",N(R79),0)+IF(X79="Pagado",N(V79),0))</f>
        <v/>
      </c>
      <c r="AA79" s="21">
        <f>IF($A79="","",ROUND(N(P79)-N(Z79),2))</f>
        <v/>
      </c>
      <c r="AB79" s="21">
        <f>IF($A79="","",SUMIF('OTROS COMPONENTES'!$A$4:$A$200,$A79,'OTROS COMPONENTES'!$D$4:$D$200))</f>
        <v/>
      </c>
      <c r="AC79" s="21">
        <f>IF($A79="","",SUMIF('OTROS COMPONENTES'!$A$4:$A$200,$A79,'OTROS COMPONENTES'!$E$4:$E$200))</f>
        <v/>
      </c>
      <c r="AD79" s="21">
        <f>IF($A79="","",ROUND(N(AB79)-N(AC79),2))</f>
        <v/>
      </c>
      <c r="AE79" s="21">
        <f>IF($A79="","",ROUND(N(P79)+N(AB79),2))</f>
        <v/>
      </c>
      <c r="AF79" s="21">
        <f>IF($A79="","",ROUND(N(Z79)+N(AC79),2))</f>
        <v/>
      </c>
      <c r="AG79" s="21">
        <f>IF($A79="","",ROUND(N(AA79)+N(AD79),2))</f>
        <v/>
      </c>
      <c r="AH79" s="9">
        <f>IF($A79="","",IF(OR($H79="Por confirmar",$H79="Cerrado"),"No","Sí"))</f>
        <v/>
      </c>
      <c r="AI79" s="21">
        <f>IF($A79="","",IF(AH79="No",0,IF(RESUMEN!$B$4="Saldo por pagar al fabricante",AA79,IF(RESUMEN!$B$4="Monto completo del pedido",P79,IF(OR($H79="Embarcando",$H79="Embarcado"),N(AA79),N(P79))))))</f>
        <v/>
      </c>
      <c r="AJ79" s="9">
        <f>IF($A79="","",IF(COUNTIF($A$4:$A$200,$A79)&gt;1,"ID_Pedido repetido",IF(N($P79)&lt;=0,"Falta el costo del fabricante",IF($F79="","Falta el proyecto",IF($G79="","Falta el cliente",IF(AND($H79&lt;&gt;"Por confirmar",N($R79)&gt;0,$T79=""),"Falta el estado del anticipo",IF(AND($H79&lt;&gt;"Por confirmar",N($V79)&gt;0,$X79=""),"Falta el estado del balance",IF($E79&gt;1,""&amp;$E79&amp;" equipos en una fila: pártela en una por proyecto",IF(AND($X79="Pendiente",N($V79)&gt;0,$W79=""),"Falta la fecha en que vence el balance",IF(AND($H79&lt;&gt;"Por confirmar",$H79&lt;&gt;"Cerrado",$AI79=0),"Consume 0 de cupo pero no está Por confirmar",""))))))))))</f>
        <v/>
      </c>
      <c r="AK79" s="4" t="n"/>
    </row>
    <row r="80">
      <c r="A80" s="4" t="n"/>
      <c r="B80" s="4" t="n"/>
      <c r="C80" s="4" t="n"/>
      <c r="D80" s="4" t="n"/>
      <c r="E80" s="4" t="n"/>
      <c r="F80" s="4" t="n"/>
      <c r="G80" s="4" t="n"/>
      <c r="H80" s="4" t="n"/>
      <c r="I80" s="5" t="n"/>
      <c r="J80" s="5" t="n"/>
      <c r="K80" s="5" t="n"/>
      <c r="L80" s="5" t="n"/>
      <c r="M80" s="5" t="n"/>
      <c r="N80" s="4" t="n"/>
      <c r="O80" s="4" t="n"/>
      <c r="P80" s="20" t="n"/>
      <c r="Q80" s="30" t="n"/>
      <c r="R80" s="21">
        <f>IF($A80="","",ROUND(P80*Q80,2))</f>
        <v/>
      </c>
      <c r="S80" s="5" t="n"/>
      <c r="T80" s="4" t="n"/>
      <c r="U80" s="5" t="n"/>
      <c r="V80" s="21">
        <f>IF($A80="","",ROUND(P80-R80,2))</f>
        <v/>
      </c>
      <c r="W80" s="5" t="n"/>
      <c r="X80" s="4" t="n"/>
      <c r="Y80" s="5" t="n"/>
      <c r="Z80" s="21">
        <f>IF($A80="","",IF(T80="Pagado",N(R80),0)+IF(X80="Pagado",N(V80),0))</f>
        <v/>
      </c>
      <c r="AA80" s="21">
        <f>IF($A80="","",ROUND(N(P80)-N(Z80),2))</f>
        <v/>
      </c>
      <c r="AB80" s="21">
        <f>IF($A80="","",SUMIF('OTROS COMPONENTES'!$A$4:$A$200,$A80,'OTROS COMPONENTES'!$D$4:$D$200))</f>
        <v/>
      </c>
      <c r="AC80" s="21">
        <f>IF($A80="","",SUMIF('OTROS COMPONENTES'!$A$4:$A$200,$A80,'OTROS COMPONENTES'!$E$4:$E$200))</f>
        <v/>
      </c>
      <c r="AD80" s="21">
        <f>IF($A80="","",ROUND(N(AB80)-N(AC80),2))</f>
        <v/>
      </c>
      <c r="AE80" s="21">
        <f>IF($A80="","",ROUND(N(P80)+N(AB80),2))</f>
        <v/>
      </c>
      <c r="AF80" s="21">
        <f>IF($A80="","",ROUND(N(Z80)+N(AC80),2))</f>
        <v/>
      </c>
      <c r="AG80" s="21">
        <f>IF($A80="","",ROUND(N(AA80)+N(AD80),2))</f>
        <v/>
      </c>
      <c r="AH80" s="9">
        <f>IF($A80="","",IF(OR($H80="Por confirmar",$H80="Cerrado"),"No","Sí"))</f>
        <v/>
      </c>
      <c r="AI80" s="21">
        <f>IF($A80="","",IF(AH80="No",0,IF(RESUMEN!$B$4="Saldo por pagar al fabricante",AA80,IF(RESUMEN!$B$4="Monto completo del pedido",P80,IF(OR($H80="Embarcando",$H80="Embarcado"),N(AA80),N(P80))))))</f>
        <v/>
      </c>
      <c r="AJ80" s="9">
        <f>IF($A80="","",IF(COUNTIF($A$4:$A$200,$A80)&gt;1,"ID_Pedido repetido",IF(N($P80)&lt;=0,"Falta el costo del fabricante",IF($F80="","Falta el proyecto",IF($G80="","Falta el cliente",IF(AND($H80&lt;&gt;"Por confirmar",N($R80)&gt;0,$T80=""),"Falta el estado del anticipo",IF(AND($H80&lt;&gt;"Por confirmar",N($V80)&gt;0,$X80=""),"Falta el estado del balance",IF($E80&gt;1,""&amp;$E80&amp;" equipos en una fila: pártela en una por proyecto",IF(AND($X80="Pendiente",N($V80)&gt;0,$W80=""),"Falta la fecha en que vence el balance",IF(AND($H80&lt;&gt;"Por confirmar",$H80&lt;&gt;"Cerrado",$AI80=0),"Consume 0 de cupo pero no está Por confirmar",""))))))))))</f>
        <v/>
      </c>
      <c r="AK80" s="4" t="n"/>
    </row>
    <row r="81">
      <c r="A81" s="4" t="n"/>
      <c r="B81" s="4" t="n"/>
      <c r="C81" s="4" t="n"/>
      <c r="D81" s="4" t="n"/>
      <c r="E81" s="4" t="n"/>
      <c r="F81" s="4" t="n"/>
      <c r="G81" s="4" t="n"/>
      <c r="H81" s="4" t="n"/>
      <c r="I81" s="5" t="n"/>
      <c r="J81" s="5" t="n"/>
      <c r="K81" s="5" t="n"/>
      <c r="L81" s="5" t="n"/>
      <c r="M81" s="5" t="n"/>
      <c r="N81" s="4" t="n"/>
      <c r="O81" s="4" t="n"/>
      <c r="P81" s="20" t="n"/>
      <c r="Q81" s="30" t="n"/>
      <c r="R81" s="21">
        <f>IF($A81="","",ROUND(P81*Q81,2))</f>
        <v/>
      </c>
      <c r="S81" s="5" t="n"/>
      <c r="T81" s="4" t="n"/>
      <c r="U81" s="5" t="n"/>
      <c r="V81" s="21">
        <f>IF($A81="","",ROUND(P81-R81,2))</f>
        <v/>
      </c>
      <c r="W81" s="5" t="n"/>
      <c r="X81" s="4" t="n"/>
      <c r="Y81" s="5" t="n"/>
      <c r="Z81" s="21">
        <f>IF($A81="","",IF(T81="Pagado",N(R81),0)+IF(X81="Pagado",N(V81),0))</f>
        <v/>
      </c>
      <c r="AA81" s="21">
        <f>IF($A81="","",ROUND(N(P81)-N(Z81),2))</f>
        <v/>
      </c>
      <c r="AB81" s="21">
        <f>IF($A81="","",SUMIF('OTROS COMPONENTES'!$A$4:$A$200,$A81,'OTROS COMPONENTES'!$D$4:$D$200))</f>
        <v/>
      </c>
      <c r="AC81" s="21">
        <f>IF($A81="","",SUMIF('OTROS COMPONENTES'!$A$4:$A$200,$A81,'OTROS COMPONENTES'!$E$4:$E$200))</f>
        <v/>
      </c>
      <c r="AD81" s="21">
        <f>IF($A81="","",ROUND(N(AB81)-N(AC81),2))</f>
        <v/>
      </c>
      <c r="AE81" s="21">
        <f>IF($A81="","",ROUND(N(P81)+N(AB81),2))</f>
        <v/>
      </c>
      <c r="AF81" s="21">
        <f>IF($A81="","",ROUND(N(Z81)+N(AC81),2))</f>
        <v/>
      </c>
      <c r="AG81" s="21">
        <f>IF($A81="","",ROUND(N(AA81)+N(AD81),2))</f>
        <v/>
      </c>
      <c r="AH81" s="9">
        <f>IF($A81="","",IF(OR($H81="Por confirmar",$H81="Cerrado"),"No","Sí"))</f>
        <v/>
      </c>
      <c r="AI81" s="21">
        <f>IF($A81="","",IF(AH81="No",0,IF(RESUMEN!$B$4="Saldo por pagar al fabricante",AA81,IF(RESUMEN!$B$4="Monto completo del pedido",P81,IF(OR($H81="Embarcando",$H81="Embarcado"),N(AA81),N(P81))))))</f>
        <v/>
      </c>
      <c r="AJ81" s="9">
        <f>IF($A81="","",IF(COUNTIF($A$4:$A$200,$A81)&gt;1,"ID_Pedido repetido",IF(N($P81)&lt;=0,"Falta el costo del fabricante",IF($F81="","Falta el proyecto",IF($G81="","Falta el cliente",IF(AND($H81&lt;&gt;"Por confirmar",N($R81)&gt;0,$T81=""),"Falta el estado del anticipo",IF(AND($H81&lt;&gt;"Por confirmar",N($V81)&gt;0,$X81=""),"Falta el estado del balance",IF($E81&gt;1,""&amp;$E81&amp;" equipos en una fila: pártela en una por proyecto",IF(AND($X81="Pendiente",N($V81)&gt;0,$W81=""),"Falta la fecha en que vence el balance",IF(AND($H81&lt;&gt;"Por confirmar",$H81&lt;&gt;"Cerrado",$AI81=0),"Consume 0 de cupo pero no está Por confirmar",""))))))))))</f>
        <v/>
      </c>
      <c r="AK81" s="4" t="n"/>
    </row>
    <row r="82">
      <c r="A82" s="4" t="n"/>
      <c r="B82" s="4" t="n"/>
      <c r="C82" s="4" t="n"/>
      <c r="D82" s="4" t="n"/>
      <c r="E82" s="4" t="n"/>
      <c r="F82" s="4" t="n"/>
      <c r="G82" s="4" t="n"/>
      <c r="H82" s="4" t="n"/>
      <c r="I82" s="5" t="n"/>
      <c r="J82" s="5" t="n"/>
      <c r="K82" s="5" t="n"/>
      <c r="L82" s="5" t="n"/>
      <c r="M82" s="5" t="n"/>
      <c r="N82" s="4" t="n"/>
      <c r="O82" s="4" t="n"/>
      <c r="P82" s="20" t="n"/>
      <c r="Q82" s="30" t="n"/>
      <c r="R82" s="21">
        <f>IF($A82="","",ROUND(P82*Q82,2))</f>
        <v/>
      </c>
      <c r="S82" s="5" t="n"/>
      <c r="T82" s="4" t="n"/>
      <c r="U82" s="5" t="n"/>
      <c r="V82" s="21">
        <f>IF($A82="","",ROUND(P82-R82,2))</f>
        <v/>
      </c>
      <c r="W82" s="5" t="n"/>
      <c r="X82" s="4" t="n"/>
      <c r="Y82" s="5" t="n"/>
      <c r="Z82" s="21">
        <f>IF($A82="","",IF(T82="Pagado",N(R82),0)+IF(X82="Pagado",N(V82),0))</f>
        <v/>
      </c>
      <c r="AA82" s="21">
        <f>IF($A82="","",ROUND(N(P82)-N(Z82),2))</f>
        <v/>
      </c>
      <c r="AB82" s="21">
        <f>IF($A82="","",SUMIF('OTROS COMPONENTES'!$A$4:$A$200,$A82,'OTROS COMPONENTES'!$D$4:$D$200))</f>
        <v/>
      </c>
      <c r="AC82" s="21">
        <f>IF($A82="","",SUMIF('OTROS COMPONENTES'!$A$4:$A$200,$A82,'OTROS COMPONENTES'!$E$4:$E$200))</f>
        <v/>
      </c>
      <c r="AD82" s="21">
        <f>IF($A82="","",ROUND(N(AB82)-N(AC82),2))</f>
        <v/>
      </c>
      <c r="AE82" s="21">
        <f>IF($A82="","",ROUND(N(P82)+N(AB82),2))</f>
        <v/>
      </c>
      <c r="AF82" s="21">
        <f>IF($A82="","",ROUND(N(Z82)+N(AC82),2))</f>
        <v/>
      </c>
      <c r="AG82" s="21">
        <f>IF($A82="","",ROUND(N(AA82)+N(AD82),2))</f>
        <v/>
      </c>
      <c r="AH82" s="9">
        <f>IF($A82="","",IF(OR($H82="Por confirmar",$H82="Cerrado"),"No","Sí"))</f>
        <v/>
      </c>
      <c r="AI82" s="21">
        <f>IF($A82="","",IF(AH82="No",0,IF(RESUMEN!$B$4="Saldo por pagar al fabricante",AA82,IF(RESUMEN!$B$4="Monto completo del pedido",P82,IF(OR($H82="Embarcando",$H82="Embarcado"),N(AA82),N(P82))))))</f>
        <v/>
      </c>
      <c r="AJ82" s="9">
        <f>IF($A82="","",IF(COUNTIF($A$4:$A$200,$A82)&gt;1,"ID_Pedido repetido",IF(N($P82)&lt;=0,"Falta el costo del fabricante",IF($F82="","Falta el proyecto",IF($G82="","Falta el cliente",IF(AND($H82&lt;&gt;"Por confirmar",N($R82)&gt;0,$T82=""),"Falta el estado del anticipo",IF(AND($H82&lt;&gt;"Por confirmar",N($V82)&gt;0,$X82=""),"Falta el estado del balance",IF($E82&gt;1,""&amp;$E82&amp;" equipos en una fila: pártela en una por proyecto",IF(AND($X82="Pendiente",N($V82)&gt;0,$W82=""),"Falta la fecha en que vence el balance",IF(AND($H82&lt;&gt;"Por confirmar",$H82&lt;&gt;"Cerrado",$AI82=0),"Consume 0 de cupo pero no está Por confirmar",""))))))))))</f>
        <v/>
      </c>
      <c r="AK82" s="4" t="n"/>
    </row>
    <row r="83">
      <c r="A83" s="4" t="n"/>
      <c r="B83" s="4" t="n"/>
      <c r="C83" s="4" t="n"/>
      <c r="D83" s="4" t="n"/>
      <c r="E83" s="4" t="n"/>
      <c r="F83" s="4" t="n"/>
      <c r="G83" s="4" t="n"/>
      <c r="H83" s="4" t="n"/>
      <c r="I83" s="5" t="n"/>
      <c r="J83" s="5" t="n"/>
      <c r="K83" s="5" t="n"/>
      <c r="L83" s="5" t="n"/>
      <c r="M83" s="5" t="n"/>
      <c r="N83" s="4" t="n"/>
      <c r="O83" s="4" t="n"/>
      <c r="P83" s="20" t="n"/>
      <c r="Q83" s="30" t="n"/>
      <c r="R83" s="21">
        <f>IF($A83="","",ROUND(P83*Q83,2))</f>
        <v/>
      </c>
      <c r="S83" s="5" t="n"/>
      <c r="T83" s="4" t="n"/>
      <c r="U83" s="5" t="n"/>
      <c r="V83" s="21">
        <f>IF($A83="","",ROUND(P83-R83,2))</f>
        <v/>
      </c>
      <c r="W83" s="5" t="n"/>
      <c r="X83" s="4" t="n"/>
      <c r="Y83" s="5" t="n"/>
      <c r="Z83" s="21">
        <f>IF($A83="","",IF(T83="Pagado",N(R83),0)+IF(X83="Pagado",N(V83),0))</f>
        <v/>
      </c>
      <c r="AA83" s="21">
        <f>IF($A83="","",ROUND(N(P83)-N(Z83),2))</f>
        <v/>
      </c>
      <c r="AB83" s="21">
        <f>IF($A83="","",SUMIF('OTROS COMPONENTES'!$A$4:$A$200,$A83,'OTROS COMPONENTES'!$D$4:$D$200))</f>
        <v/>
      </c>
      <c r="AC83" s="21">
        <f>IF($A83="","",SUMIF('OTROS COMPONENTES'!$A$4:$A$200,$A83,'OTROS COMPONENTES'!$E$4:$E$200))</f>
        <v/>
      </c>
      <c r="AD83" s="21">
        <f>IF($A83="","",ROUND(N(AB83)-N(AC83),2))</f>
        <v/>
      </c>
      <c r="AE83" s="21">
        <f>IF($A83="","",ROUND(N(P83)+N(AB83),2))</f>
        <v/>
      </c>
      <c r="AF83" s="21">
        <f>IF($A83="","",ROUND(N(Z83)+N(AC83),2))</f>
        <v/>
      </c>
      <c r="AG83" s="21">
        <f>IF($A83="","",ROUND(N(AA83)+N(AD83),2))</f>
        <v/>
      </c>
      <c r="AH83" s="9">
        <f>IF($A83="","",IF(OR($H83="Por confirmar",$H83="Cerrado"),"No","Sí"))</f>
        <v/>
      </c>
      <c r="AI83" s="21">
        <f>IF($A83="","",IF(AH83="No",0,IF(RESUMEN!$B$4="Saldo por pagar al fabricante",AA83,IF(RESUMEN!$B$4="Monto completo del pedido",P83,IF(OR($H83="Embarcando",$H83="Embarcado"),N(AA83),N(P83))))))</f>
        <v/>
      </c>
      <c r="AJ83" s="9">
        <f>IF($A83="","",IF(COUNTIF($A$4:$A$200,$A83)&gt;1,"ID_Pedido repetido",IF(N($P83)&lt;=0,"Falta el costo del fabricante",IF($F83="","Falta el proyecto",IF($G83="","Falta el cliente",IF(AND($H83&lt;&gt;"Por confirmar",N($R83)&gt;0,$T83=""),"Falta el estado del anticipo",IF(AND($H83&lt;&gt;"Por confirmar",N($V83)&gt;0,$X83=""),"Falta el estado del balance",IF($E83&gt;1,""&amp;$E83&amp;" equipos en una fila: pártela en una por proyecto",IF(AND($X83="Pendiente",N($V83)&gt;0,$W83=""),"Falta la fecha en que vence el balance",IF(AND($H83&lt;&gt;"Por confirmar",$H83&lt;&gt;"Cerrado",$AI83=0),"Consume 0 de cupo pero no está Por confirmar",""))))))))))</f>
        <v/>
      </c>
      <c r="AK83" s="4" t="n"/>
    </row>
    <row r="84">
      <c r="A84" s="4" t="n"/>
      <c r="B84" s="4" t="n"/>
      <c r="C84" s="4" t="n"/>
      <c r="D84" s="4" t="n"/>
      <c r="E84" s="4" t="n"/>
      <c r="F84" s="4" t="n"/>
      <c r="G84" s="4" t="n"/>
      <c r="H84" s="4" t="n"/>
      <c r="I84" s="5" t="n"/>
      <c r="J84" s="5" t="n"/>
      <c r="K84" s="5" t="n"/>
      <c r="L84" s="5" t="n"/>
      <c r="M84" s="5" t="n"/>
      <c r="N84" s="4" t="n"/>
      <c r="O84" s="4" t="n"/>
      <c r="P84" s="20" t="n"/>
      <c r="Q84" s="30" t="n"/>
      <c r="R84" s="21">
        <f>IF($A84="","",ROUND(P84*Q84,2))</f>
        <v/>
      </c>
      <c r="S84" s="5" t="n"/>
      <c r="T84" s="4" t="n"/>
      <c r="U84" s="5" t="n"/>
      <c r="V84" s="21">
        <f>IF($A84="","",ROUND(P84-R84,2))</f>
        <v/>
      </c>
      <c r="W84" s="5" t="n"/>
      <c r="X84" s="4" t="n"/>
      <c r="Y84" s="5" t="n"/>
      <c r="Z84" s="21">
        <f>IF($A84="","",IF(T84="Pagado",N(R84),0)+IF(X84="Pagado",N(V84),0))</f>
        <v/>
      </c>
      <c r="AA84" s="21">
        <f>IF($A84="","",ROUND(N(P84)-N(Z84),2))</f>
        <v/>
      </c>
      <c r="AB84" s="21">
        <f>IF($A84="","",SUMIF('OTROS COMPONENTES'!$A$4:$A$200,$A84,'OTROS COMPONENTES'!$D$4:$D$200))</f>
        <v/>
      </c>
      <c r="AC84" s="21">
        <f>IF($A84="","",SUMIF('OTROS COMPONENTES'!$A$4:$A$200,$A84,'OTROS COMPONENTES'!$E$4:$E$200))</f>
        <v/>
      </c>
      <c r="AD84" s="21">
        <f>IF($A84="","",ROUND(N(AB84)-N(AC84),2))</f>
        <v/>
      </c>
      <c r="AE84" s="21">
        <f>IF($A84="","",ROUND(N(P84)+N(AB84),2))</f>
        <v/>
      </c>
      <c r="AF84" s="21">
        <f>IF($A84="","",ROUND(N(Z84)+N(AC84),2))</f>
        <v/>
      </c>
      <c r="AG84" s="21">
        <f>IF($A84="","",ROUND(N(AA84)+N(AD84),2))</f>
        <v/>
      </c>
      <c r="AH84" s="9">
        <f>IF($A84="","",IF(OR($H84="Por confirmar",$H84="Cerrado"),"No","Sí"))</f>
        <v/>
      </c>
      <c r="AI84" s="21">
        <f>IF($A84="","",IF(AH84="No",0,IF(RESUMEN!$B$4="Saldo por pagar al fabricante",AA84,IF(RESUMEN!$B$4="Monto completo del pedido",P84,IF(OR($H84="Embarcando",$H84="Embarcado"),N(AA84),N(P84))))))</f>
        <v/>
      </c>
      <c r="AJ84" s="9">
        <f>IF($A84="","",IF(COUNTIF($A$4:$A$200,$A84)&gt;1,"ID_Pedido repetido",IF(N($P84)&lt;=0,"Falta el costo del fabricante",IF($F84="","Falta el proyecto",IF($G84="","Falta el cliente",IF(AND($H84&lt;&gt;"Por confirmar",N($R84)&gt;0,$T84=""),"Falta el estado del anticipo",IF(AND($H84&lt;&gt;"Por confirmar",N($V84)&gt;0,$X84=""),"Falta el estado del balance",IF($E84&gt;1,""&amp;$E84&amp;" equipos en una fila: pártela en una por proyecto",IF(AND($X84="Pendiente",N($V84)&gt;0,$W84=""),"Falta la fecha en que vence el balance",IF(AND($H84&lt;&gt;"Por confirmar",$H84&lt;&gt;"Cerrado",$AI84=0),"Consume 0 de cupo pero no está Por confirmar",""))))))))))</f>
        <v/>
      </c>
      <c r="AK84" s="4" t="n"/>
    </row>
    <row r="85">
      <c r="A85" s="4" t="n"/>
      <c r="B85" s="4" t="n"/>
      <c r="C85" s="4" t="n"/>
      <c r="D85" s="4" t="n"/>
      <c r="E85" s="4" t="n"/>
      <c r="F85" s="4" t="n"/>
      <c r="G85" s="4" t="n"/>
      <c r="H85" s="4" t="n"/>
      <c r="I85" s="5" t="n"/>
      <c r="J85" s="5" t="n"/>
      <c r="K85" s="5" t="n"/>
      <c r="L85" s="5" t="n"/>
      <c r="M85" s="5" t="n"/>
      <c r="N85" s="4" t="n"/>
      <c r="O85" s="4" t="n"/>
      <c r="P85" s="20" t="n"/>
      <c r="Q85" s="30" t="n"/>
      <c r="R85" s="21">
        <f>IF($A85="","",ROUND(P85*Q85,2))</f>
        <v/>
      </c>
      <c r="S85" s="5" t="n"/>
      <c r="T85" s="4" t="n"/>
      <c r="U85" s="5" t="n"/>
      <c r="V85" s="21">
        <f>IF($A85="","",ROUND(P85-R85,2))</f>
        <v/>
      </c>
      <c r="W85" s="5" t="n"/>
      <c r="X85" s="4" t="n"/>
      <c r="Y85" s="5" t="n"/>
      <c r="Z85" s="21">
        <f>IF($A85="","",IF(T85="Pagado",N(R85),0)+IF(X85="Pagado",N(V85),0))</f>
        <v/>
      </c>
      <c r="AA85" s="21">
        <f>IF($A85="","",ROUND(N(P85)-N(Z85),2))</f>
        <v/>
      </c>
      <c r="AB85" s="21">
        <f>IF($A85="","",SUMIF('OTROS COMPONENTES'!$A$4:$A$200,$A85,'OTROS COMPONENTES'!$D$4:$D$200))</f>
        <v/>
      </c>
      <c r="AC85" s="21">
        <f>IF($A85="","",SUMIF('OTROS COMPONENTES'!$A$4:$A$200,$A85,'OTROS COMPONENTES'!$E$4:$E$200))</f>
        <v/>
      </c>
      <c r="AD85" s="21">
        <f>IF($A85="","",ROUND(N(AB85)-N(AC85),2))</f>
        <v/>
      </c>
      <c r="AE85" s="21">
        <f>IF($A85="","",ROUND(N(P85)+N(AB85),2))</f>
        <v/>
      </c>
      <c r="AF85" s="21">
        <f>IF($A85="","",ROUND(N(Z85)+N(AC85),2))</f>
        <v/>
      </c>
      <c r="AG85" s="21">
        <f>IF($A85="","",ROUND(N(AA85)+N(AD85),2))</f>
        <v/>
      </c>
      <c r="AH85" s="9">
        <f>IF($A85="","",IF(OR($H85="Por confirmar",$H85="Cerrado"),"No","Sí"))</f>
        <v/>
      </c>
      <c r="AI85" s="21">
        <f>IF($A85="","",IF(AH85="No",0,IF(RESUMEN!$B$4="Saldo por pagar al fabricante",AA85,IF(RESUMEN!$B$4="Monto completo del pedido",P85,IF(OR($H85="Embarcando",$H85="Embarcado"),N(AA85),N(P85))))))</f>
        <v/>
      </c>
      <c r="AJ85" s="9">
        <f>IF($A85="","",IF(COUNTIF($A$4:$A$200,$A85)&gt;1,"ID_Pedido repetido",IF(N($P85)&lt;=0,"Falta el costo del fabricante",IF($F85="","Falta el proyecto",IF($G85="","Falta el cliente",IF(AND($H85&lt;&gt;"Por confirmar",N($R85)&gt;0,$T85=""),"Falta el estado del anticipo",IF(AND($H85&lt;&gt;"Por confirmar",N($V85)&gt;0,$X85=""),"Falta el estado del balance",IF($E85&gt;1,""&amp;$E85&amp;" equipos en una fila: pártela en una por proyecto",IF(AND($X85="Pendiente",N($V85)&gt;0,$W85=""),"Falta la fecha en que vence el balance",IF(AND($H85&lt;&gt;"Por confirmar",$H85&lt;&gt;"Cerrado",$AI85=0),"Consume 0 de cupo pero no está Por confirmar",""))))))))))</f>
        <v/>
      </c>
      <c r="AK85" s="4" t="n"/>
    </row>
    <row r="86">
      <c r="A86" s="4" t="n"/>
      <c r="B86" s="4" t="n"/>
      <c r="C86" s="4" t="n"/>
      <c r="D86" s="4" t="n"/>
      <c r="E86" s="4" t="n"/>
      <c r="F86" s="4" t="n"/>
      <c r="G86" s="4" t="n"/>
      <c r="H86" s="4" t="n"/>
      <c r="I86" s="5" t="n"/>
      <c r="J86" s="5" t="n"/>
      <c r="K86" s="5" t="n"/>
      <c r="L86" s="5" t="n"/>
      <c r="M86" s="5" t="n"/>
      <c r="N86" s="4" t="n"/>
      <c r="O86" s="4" t="n"/>
      <c r="P86" s="20" t="n"/>
      <c r="Q86" s="30" t="n"/>
      <c r="R86" s="21">
        <f>IF($A86="","",ROUND(P86*Q86,2))</f>
        <v/>
      </c>
      <c r="S86" s="5" t="n"/>
      <c r="T86" s="4" t="n"/>
      <c r="U86" s="5" t="n"/>
      <c r="V86" s="21">
        <f>IF($A86="","",ROUND(P86-R86,2))</f>
        <v/>
      </c>
      <c r="W86" s="5" t="n"/>
      <c r="X86" s="4" t="n"/>
      <c r="Y86" s="5" t="n"/>
      <c r="Z86" s="21">
        <f>IF($A86="","",IF(T86="Pagado",N(R86),0)+IF(X86="Pagado",N(V86),0))</f>
        <v/>
      </c>
      <c r="AA86" s="21">
        <f>IF($A86="","",ROUND(N(P86)-N(Z86),2))</f>
        <v/>
      </c>
      <c r="AB86" s="21">
        <f>IF($A86="","",SUMIF('OTROS COMPONENTES'!$A$4:$A$200,$A86,'OTROS COMPONENTES'!$D$4:$D$200))</f>
        <v/>
      </c>
      <c r="AC86" s="21">
        <f>IF($A86="","",SUMIF('OTROS COMPONENTES'!$A$4:$A$200,$A86,'OTROS COMPONENTES'!$E$4:$E$200))</f>
        <v/>
      </c>
      <c r="AD86" s="21">
        <f>IF($A86="","",ROUND(N(AB86)-N(AC86),2))</f>
        <v/>
      </c>
      <c r="AE86" s="21">
        <f>IF($A86="","",ROUND(N(P86)+N(AB86),2))</f>
        <v/>
      </c>
      <c r="AF86" s="21">
        <f>IF($A86="","",ROUND(N(Z86)+N(AC86),2))</f>
        <v/>
      </c>
      <c r="AG86" s="21">
        <f>IF($A86="","",ROUND(N(AA86)+N(AD86),2))</f>
        <v/>
      </c>
      <c r="AH86" s="9">
        <f>IF($A86="","",IF(OR($H86="Por confirmar",$H86="Cerrado"),"No","Sí"))</f>
        <v/>
      </c>
      <c r="AI86" s="21">
        <f>IF($A86="","",IF(AH86="No",0,IF(RESUMEN!$B$4="Saldo por pagar al fabricante",AA86,IF(RESUMEN!$B$4="Monto completo del pedido",P86,IF(OR($H86="Embarcando",$H86="Embarcado"),N(AA86),N(P86))))))</f>
        <v/>
      </c>
      <c r="AJ86" s="9">
        <f>IF($A86="","",IF(COUNTIF($A$4:$A$200,$A86)&gt;1,"ID_Pedido repetido",IF(N($P86)&lt;=0,"Falta el costo del fabricante",IF($F86="","Falta el proyecto",IF($G86="","Falta el cliente",IF(AND($H86&lt;&gt;"Por confirmar",N($R86)&gt;0,$T86=""),"Falta el estado del anticipo",IF(AND($H86&lt;&gt;"Por confirmar",N($V86)&gt;0,$X86=""),"Falta el estado del balance",IF($E86&gt;1,""&amp;$E86&amp;" equipos en una fila: pártela en una por proyecto",IF(AND($X86="Pendiente",N($V86)&gt;0,$W86=""),"Falta la fecha en que vence el balance",IF(AND($H86&lt;&gt;"Por confirmar",$H86&lt;&gt;"Cerrado",$AI86=0),"Consume 0 de cupo pero no está Por confirmar",""))))))))))</f>
        <v/>
      </c>
      <c r="AK86" s="4" t="n"/>
    </row>
    <row r="87">
      <c r="A87" s="4" t="n"/>
      <c r="B87" s="4" t="n"/>
      <c r="C87" s="4" t="n"/>
      <c r="D87" s="4" t="n"/>
      <c r="E87" s="4" t="n"/>
      <c r="F87" s="4" t="n"/>
      <c r="G87" s="4" t="n"/>
      <c r="H87" s="4" t="n"/>
      <c r="I87" s="5" t="n"/>
      <c r="J87" s="5" t="n"/>
      <c r="K87" s="5" t="n"/>
      <c r="L87" s="5" t="n"/>
      <c r="M87" s="5" t="n"/>
      <c r="N87" s="4" t="n"/>
      <c r="O87" s="4" t="n"/>
      <c r="P87" s="20" t="n"/>
      <c r="Q87" s="30" t="n"/>
      <c r="R87" s="21">
        <f>IF($A87="","",ROUND(P87*Q87,2))</f>
        <v/>
      </c>
      <c r="S87" s="5" t="n"/>
      <c r="T87" s="4" t="n"/>
      <c r="U87" s="5" t="n"/>
      <c r="V87" s="21">
        <f>IF($A87="","",ROUND(P87-R87,2))</f>
        <v/>
      </c>
      <c r="W87" s="5" t="n"/>
      <c r="X87" s="4" t="n"/>
      <c r="Y87" s="5" t="n"/>
      <c r="Z87" s="21">
        <f>IF($A87="","",IF(T87="Pagado",N(R87),0)+IF(X87="Pagado",N(V87),0))</f>
        <v/>
      </c>
      <c r="AA87" s="21">
        <f>IF($A87="","",ROUND(N(P87)-N(Z87),2))</f>
        <v/>
      </c>
      <c r="AB87" s="21">
        <f>IF($A87="","",SUMIF('OTROS COMPONENTES'!$A$4:$A$200,$A87,'OTROS COMPONENTES'!$D$4:$D$200))</f>
        <v/>
      </c>
      <c r="AC87" s="21">
        <f>IF($A87="","",SUMIF('OTROS COMPONENTES'!$A$4:$A$200,$A87,'OTROS COMPONENTES'!$E$4:$E$200))</f>
        <v/>
      </c>
      <c r="AD87" s="21">
        <f>IF($A87="","",ROUND(N(AB87)-N(AC87),2))</f>
        <v/>
      </c>
      <c r="AE87" s="21">
        <f>IF($A87="","",ROUND(N(P87)+N(AB87),2))</f>
        <v/>
      </c>
      <c r="AF87" s="21">
        <f>IF($A87="","",ROUND(N(Z87)+N(AC87),2))</f>
        <v/>
      </c>
      <c r="AG87" s="21">
        <f>IF($A87="","",ROUND(N(AA87)+N(AD87),2))</f>
        <v/>
      </c>
      <c r="AH87" s="9">
        <f>IF($A87="","",IF(OR($H87="Por confirmar",$H87="Cerrado"),"No","Sí"))</f>
        <v/>
      </c>
      <c r="AI87" s="21">
        <f>IF($A87="","",IF(AH87="No",0,IF(RESUMEN!$B$4="Saldo por pagar al fabricante",AA87,IF(RESUMEN!$B$4="Monto completo del pedido",P87,IF(OR($H87="Embarcando",$H87="Embarcado"),N(AA87),N(P87))))))</f>
        <v/>
      </c>
      <c r="AJ87" s="9">
        <f>IF($A87="","",IF(COUNTIF($A$4:$A$200,$A87)&gt;1,"ID_Pedido repetido",IF(N($P87)&lt;=0,"Falta el costo del fabricante",IF($F87="","Falta el proyecto",IF($G87="","Falta el cliente",IF(AND($H87&lt;&gt;"Por confirmar",N($R87)&gt;0,$T87=""),"Falta el estado del anticipo",IF(AND($H87&lt;&gt;"Por confirmar",N($V87)&gt;0,$X87=""),"Falta el estado del balance",IF($E87&gt;1,""&amp;$E87&amp;" equipos en una fila: pártela en una por proyecto",IF(AND($X87="Pendiente",N($V87)&gt;0,$W87=""),"Falta la fecha en que vence el balance",IF(AND($H87&lt;&gt;"Por confirmar",$H87&lt;&gt;"Cerrado",$AI87=0),"Consume 0 de cupo pero no está Por confirmar",""))))))))))</f>
        <v/>
      </c>
      <c r="AK87" s="4" t="n"/>
    </row>
    <row r="88">
      <c r="A88" s="4" t="n"/>
      <c r="B88" s="4" t="n"/>
      <c r="C88" s="4" t="n"/>
      <c r="D88" s="4" t="n"/>
      <c r="E88" s="4" t="n"/>
      <c r="F88" s="4" t="n"/>
      <c r="G88" s="4" t="n"/>
      <c r="H88" s="4" t="n"/>
      <c r="I88" s="5" t="n"/>
      <c r="J88" s="5" t="n"/>
      <c r="K88" s="5" t="n"/>
      <c r="L88" s="5" t="n"/>
      <c r="M88" s="5" t="n"/>
      <c r="N88" s="4" t="n"/>
      <c r="O88" s="4" t="n"/>
      <c r="P88" s="20" t="n"/>
      <c r="Q88" s="30" t="n"/>
      <c r="R88" s="21">
        <f>IF($A88="","",ROUND(P88*Q88,2))</f>
        <v/>
      </c>
      <c r="S88" s="5" t="n"/>
      <c r="T88" s="4" t="n"/>
      <c r="U88" s="5" t="n"/>
      <c r="V88" s="21">
        <f>IF($A88="","",ROUND(P88-R88,2))</f>
        <v/>
      </c>
      <c r="W88" s="5" t="n"/>
      <c r="X88" s="4" t="n"/>
      <c r="Y88" s="5" t="n"/>
      <c r="Z88" s="21">
        <f>IF($A88="","",IF(T88="Pagado",N(R88),0)+IF(X88="Pagado",N(V88),0))</f>
        <v/>
      </c>
      <c r="AA88" s="21">
        <f>IF($A88="","",ROUND(N(P88)-N(Z88),2))</f>
        <v/>
      </c>
      <c r="AB88" s="21">
        <f>IF($A88="","",SUMIF('OTROS COMPONENTES'!$A$4:$A$200,$A88,'OTROS COMPONENTES'!$D$4:$D$200))</f>
        <v/>
      </c>
      <c r="AC88" s="21">
        <f>IF($A88="","",SUMIF('OTROS COMPONENTES'!$A$4:$A$200,$A88,'OTROS COMPONENTES'!$E$4:$E$200))</f>
        <v/>
      </c>
      <c r="AD88" s="21">
        <f>IF($A88="","",ROUND(N(AB88)-N(AC88),2))</f>
        <v/>
      </c>
      <c r="AE88" s="21">
        <f>IF($A88="","",ROUND(N(P88)+N(AB88),2))</f>
        <v/>
      </c>
      <c r="AF88" s="21">
        <f>IF($A88="","",ROUND(N(Z88)+N(AC88),2))</f>
        <v/>
      </c>
      <c r="AG88" s="21">
        <f>IF($A88="","",ROUND(N(AA88)+N(AD88),2))</f>
        <v/>
      </c>
      <c r="AH88" s="9">
        <f>IF($A88="","",IF(OR($H88="Por confirmar",$H88="Cerrado"),"No","Sí"))</f>
        <v/>
      </c>
      <c r="AI88" s="21">
        <f>IF($A88="","",IF(AH88="No",0,IF(RESUMEN!$B$4="Saldo por pagar al fabricante",AA88,IF(RESUMEN!$B$4="Monto completo del pedido",P88,IF(OR($H88="Embarcando",$H88="Embarcado"),N(AA88),N(P88))))))</f>
        <v/>
      </c>
      <c r="AJ88" s="9">
        <f>IF($A88="","",IF(COUNTIF($A$4:$A$200,$A88)&gt;1,"ID_Pedido repetido",IF(N($P88)&lt;=0,"Falta el costo del fabricante",IF($F88="","Falta el proyecto",IF($G88="","Falta el cliente",IF(AND($H88&lt;&gt;"Por confirmar",N($R88)&gt;0,$T88=""),"Falta el estado del anticipo",IF(AND($H88&lt;&gt;"Por confirmar",N($V88)&gt;0,$X88=""),"Falta el estado del balance",IF($E88&gt;1,""&amp;$E88&amp;" equipos en una fila: pártela en una por proyecto",IF(AND($X88="Pendiente",N($V88)&gt;0,$W88=""),"Falta la fecha en que vence el balance",IF(AND($H88&lt;&gt;"Por confirmar",$H88&lt;&gt;"Cerrado",$AI88=0),"Consume 0 de cupo pero no está Por confirmar",""))))))))))</f>
        <v/>
      </c>
      <c r="AK88" s="4" t="n"/>
    </row>
    <row r="89">
      <c r="A89" s="4" t="n"/>
      <c r="B89" s="4" t="n"/>
      <c r="C89" s="4" t="n"/>
      <c r="D89" s="4" t="n"/>
      <c r="E89" s="4" t="n"/>
      <c r="F89" s="4" t="n"/>
      <c r="G89" s="4" t="n"/>
      <c r="H89" s="4" t="n"/>
      <c r="I89" s="5" t="n"/>
      <c r="J89" s="5" t="n"/>
      <c r="K89" s="5" t="n"/>
      <c r="L89" s="5" t="n"/>
      <c r="M89" s="5" t="n"/>
      <c r="N89" s="4" t="n"/>
      <c r="O89" s="4" t="n"/>
      <c r="P89" s="20" t="n"/>
      <c r="Q89" s="30" t="n"/>
      <c r="R89" s="21">
        <f>IF($A89="","",ROUND(P89*Q89,2))</f>
        <v/>
      </c>
      <c r="S89" s="5" t="n"/>
      <c r="T89" s="4" t="n"/>
      <c r="U89" s="5" t="n"/>
      <c r="V89" s="21">
        <f>IF($A89="","",ROUND(P89-R89,2))</f>
        <v/>
      </c>
      <c r="W89" s="5" t="n"/>
      <c r="X89" s="4" t="n"/>
      <c r="Y89" s="5" t="n"/>
      <c r="Z89" s="21">
        <f>IF($A89="","",IF(T89="Pagado",N(R89),0)+IF(X89="Pagado",N(V89),0))</f>
        <v/>
      </c>
      <c r="AA89" s="21">
        <f>IF($A89="","",ROUND(N(P89)-N(Z89),2))</f>
        <v/>
      </c>
      <c r="AB89" s="21">
        <f>IF($A89="","",SUMIF('OTROS COMPONENTES'!$A$4:$A$200,$A89,'OTROS COMPONENTES'!$D$4:$D$200))</f>
        <v/>
      </c>
      <c r="AC89" s="21">
        <f>IF($A89="","",SUMIF('OTROS COMPONENTES'!$A$4:$A$200,$A89,'OTROS COMPONENTES'!$E$4:$E$200))</f>
        <v/>
      </c>
      <c r="AD89" s="21">
        <f>IF($A89="","",ROUND(N(AB89)-N(AC89),2))</f>
        <v/>
      </c>
      <c r="AE89" s="21">
        <f>IF($A89="","",ROUND(N(P89)+N(AB89),2))</f>
        <v/>
      </c>
      <c r="AF89" s="21">
        <f>IF($A89="","",ROUND(N(Z89)+N(AC89),2))</f>
        <v/>
      </c>
      <c r="AG89" s="21">
        <f>IF($A89="","",ROUND(N(AA89)+N(AD89),2))</f>
        <v/>
      </c>
      <c r="AH89" s="9">
        <f>IF($A89="","",IF(OR($H89="Por confirmar",$H89="Cerrado"),"No","Sí"))</f>
        <v/>
      </c>
      <c r="AI89" s="21">
        <f>IF($A89="","",IF(AH89="No",0,IF(RESUMEN!$B$4="Saldo por pagar al fabricante",AA89,IF(RESUMEN!$B$4="Monto completo del pedido",P89,IF(OR($H89="Embarcando",$H89="Embarcado"),N(AA89),N(P89))))))</f>
        <v/>
      </c>
      <c r="AJ89" s="9">
        <f>IF($A89="","",IF(COUNTIF($A$4:$A$200,$A89)&gt;1,"ID_Pedido repetido",IF(N($P89)&lt;=0,"Falta el costo del fabricante",IF($F89="","Falta el proyecto",IF($G89="","Falta el cliente",IF(AND($H89&lt;&gt;"Por confirmar",N($R89)&gt;0,$T89=""),"Falta el estado del anticipo",IF(AND($H89&lt;&gt;"Por confirmar",N($V89)&gt;0,$X89=""),"Falta el estado del balance",IF($E89&gt;1,""&amp;$E89&amp;" equipos en una fila: pártela en una por proyecto",IF(AND($X89="Pendiente",N($V89)&gt;0,$W89=""),"Falta la fecha en que vence el balance",IF(AND($H89&lt;&gt;"Por confirmar",$H89&lt;&gt;"Cerrado",$AI89=0),"Consume 0 de cupo pero no está Por confirmar",""))))))))))</f>
        <v/>
      </c>
      <c r="AK89" s="4" t="n"/>
    </row>
    <row r="90">
      <c r="A90" s="4" t="n"/>
      <c r="B90" s="4" t="n"/>
      <c r="C90" s="4" t="n"/>
      <c r="D90" s="4" t="n"/>
      <c r="E90" s="4" t="n"/>
      <c r="F90" s="4" t="n"/>
      <c r="G90" s="4" t="n"/>
      <c r="H90" s="4" t="n"/>
      <c r="I90" s="5" t="n"/>
      <c r="J90" s="5" t="n"/>
      <c r="K90" s="5" t="n"/>
      <c r="L90" s="5" t="n"/>
      <c r="M90" s="5" t="n"/>
      <c r="N90" s="4" t="n"/>
      <c r="O90" s="4" t="n"/>
      <c r="P90" s="20" t="n"/>
      <c r="Q90" s="30" t="n"/>
      <c r="R90" s="21">
        <f>IF($A90="","",ROUND(P90*Q90,2))</f>
        <v/>
      </c>
      <c r="S90" s="5" t="n"/>
      <c r="T90" s="4" t="n"/>
      <c r="U90" s="5" t="n"/>
      <c r="V90" s="21">
        <f>IF($A90="","",ROUND(P90-R90,2))</f>
        <v/>
      </c>
      <c r="W90" s="5" t="n"/>
      <c r="X90" s="4" t="n"/>
      <c r="Y90" s="5" t="n"/>
      <c r="Z90" s="21">
        <f>IF($A90="","",IF(T90="Pagado",N(R90),0)+IF(X90="Pagado",N(V90),0))</f>
        <v/>
      </c>
      <c r="AA90" s="21">
        <f>IF($A90="","",ROUND(N(P90)-N(Z90),2))</f>
        <v/>
      </c>
      <c r="AB90" s="21">
        <f>IF($A90="","",SUMIF('OTROS COMPONENTES'!$A$4:$A$200,$A90,'OTROS COMPONENTES'!$D$4:$D$200))</f>
        <v/>
      </c>
      <c r="AC90" s="21">
        <f>IF($A90="","",SUMIF('OTROS COMPONENTES'!$A$4:$A$200,$A90,'OTROS COMPONENTES'!$E$4:$E$200))</f>
        <v/>
      </c>
      <c r="AD90" s="21">
        <f>IF($A90="","",ROUND(N(AB90)-N(AC90),2))</f>
        <v/>
      </c>
      <c r="AE90" s="21">
        <f>IF($A90="","",ROUND(N(P90)+N(AB90),2))</f>
        <v/>
      </c>
      <c r="AF90" s="21">
        <f>IF($A90="","",ROUND(N(Z90)+N(AC90),2))</f>
        <v/>
      </c>
      <c r="AG90" s="21">
        <f>IF($A90="","",ROUND(N(AA90)+N(AD90),2))</f>
        <v/>
      </c>
      <c r="AH90" s="9">
        <f>IF($A90="","",IF(OR($H90="Por confirmar",$H90="Cerrado"),"No","Sí"))</f>
        <v/>
      </c>
      <c r="AI90" s="21">
        <f>IF($A90="","",IF(AH90="No",0,IF(RESUMEN!$B$4="Saldo por pagar al fabricante",AA90,IF(RESUMEN!$B$4="Monto completo del pedido",P90,IF(OR($H90="Embarcando",$H90="Embarcado"),N(AA90),N(P90))))))</f>
        <v/>
      </c>
      <c r="AJ90" s="9">
        <f>IF($A90="","",IF(COUNTIF($A$4:$A$200,$A90)&gt;1,"ID_Pedido repetido",IF(N($P90)&lt;=0,"Falta el costo del fabricante",IF($F90="","Falta el proyecto",IF($G90="","Falta el cliente",IF(AND($H90&lt;&gt;"Por confirmar",N($R90)&gt;0,$T90=""),"Falta el estado del anticipo",IF(AND($H90&lt;&gt;"Por confirmar",N($V90)&gt;0,$X90=""),"Falta el estado del balance",IF($E90&gt;1,""&amp;$E90&amp;" equipos en una fila: pártela en una por proyecto",IF(AND($X90="Pendiente",N($V90)&gt;0,$W90=""),"Falta la fecha en que vence el balance",IF(AND($H90&lt;&gt;"Por confirmar",$H90&lt;&gt;"Cerrado",$AI90=0),"Consume 0 de cupo pero no está Por confirmar",""))))))))))</f>
        <v/>
      </c>
      <c r="AK90" s="4" t="n"/>
    </row>
    <row r="91">
      <c r="A91" s="4" t="n"/>
      <c r="B91" s="4" t="n"/>
      <c r="C91" s="4" t="n"/>
      <c r="D91" s="4" t="n"/>
      <c r="E91" s="4" t="n"/>
      <c r="F91" s="4" t="n"/>
      <c r="G91" s="4" t="n"/>
      <c r="H91" s="4" t="n"/>
      <c r="I91" s="5" t="n"/>
      <c r="J91" s="5" t="n"/>
      <c r="K91" s="5" t="n"/>
      <c r="L91" s="5" t="n"/>
      <c r="M91" s="5" t="n"/>
      <c r="N91" s="4" t="n"/>
      <c r="O91" s="4" t="n"/>
      <c r="P91" s="20" t="n"/>
      <c r="Q91" s="30" t="n"/>
      <c r="R91" s="21">
        <f>IF($A91="","",ROUND(P91*Q91,2))</f>
        <v/>
      </c>
      <c r="S91" s="5" t="n"/>
      <c r="T91" s="4" t="n"/>
      <c r="U91" s="5" t="n"/>
      <c r="V91" s="21">
        <f>IF($A91="","",ROUND(P91-R91,2))</f>
        <v/>
      </c>
      <c r="W91" s="5" t="n"/>
      <c r="X91" s="4" t="n"/>
      <c r="Y91" s="5" t="n"/>
      <c r="Z91" s="21">
        <f>IF($A91="","",IF(T91="Pagado",N(R91),0)+IF(X91="Pagado",N(V91),0))</f>
        <v/>
      </c>
      <c r="AA91" s="21">
        <f>IF($A91="","",ROUND(N(P91)-N(Z91),2))</f>
        <v/>
      </c>
      <c r="AB91" s="21">
        <f>IF($A91="","",SUMIF('OTROS COMPONENTES'!$A$4:$A$200,$A91,'OTROS COMPONENTES'!$D$4:$D$200))</f>
        <v/>
      </c>
      <c r="AC91" s="21">
        <f>IF($A91="","",SUMIF('OTROS COMPONENTES'!$A$4:$A$200,$A91,'OTROS COMPONENTES'!$E$4:$E$200))</f>
        <v/>
      </c>
      <c r="AD91" s="21">
        <f>IF($A91="","",ROUND(N(AB91)-N(AC91),2))</f>
        <v/>
      </c>
      <c r="AE91" s="21">
        <f>IF($A91="","",ROUND(N(P91)+N(AB91),2))</f>
        <v/>
      </c>
      <c r="AF91" s="21">
        <f>IF($A91="","",ROUND(N(Z91)+N(AC91),2))</f>
        <v/>
      </c>
      <c r="AG91" s="21">
        <f>IF($A91="","",ROUND(N(AA91)+N(AD91),2))</f>
        <v/>
      </c>
      <c r="AH91" s="9">
        <f>IF($A91="","",IF(OR($H91="Por confirmar",$H91="Cerrado"),"No","Sí"))</f>
        <v/>
      </c>
      <c r="AI91" s="21">
        <f>IF($A91="","",IF(AH91="No",0,IF(RESUMEN!$B$4="Saldo por pagar al fabricante",AA91,IF(RESUMEN!$B$4="Monto completo del pedido",P91,IF(OR($H91="Embarcando",$H91="Embarcado"),N(AA91),N(P91))))))</f>
        <v/>
      </c>
      <c r="AJ91" s="9">
        <f>IF($A91="","",IF(COUNTIF($A$4:$A$200,$A91)&gt;1,"ID_Pedido repetido",IF(N($P91)&lt;=0,"Falta el costo del fabricante",IF($F91="","Falta el proyecto",IF($G91="","Falta el cliente",IF(AND($H91&lt;&gt;"Por confirmar",N($R91)&gt;0,$T91=""),"Falta el estado del anticipo",IF(AND($H91&lt;&gt;"Por confirmar",N($V91)&gt;0,$X91=""),"Falta el estado del balance",IF($E91&gt;1,""&amp;$E91&amp;" equipos en una fila: pártela en una por proyecto",IF(AND($X91="Pendiente",N($V91)&gt;0,$W91=""),"Falta la fecha en que vence el balance",IF(AND($H91&lt;&gt;"Por confirmar",$H91&lt;&gt;"Cerrado",$AI91=0),"Consume 0 de cupo pero no está Por confirmar",""))))))))))</f>
        <v/>
      </c>
      <c r="AK91" s="4" t="n"/>
    </row>
    <row r="92">
      <c r="A92" s="4" t="n"/>
      <c r="B92" s="4" t="n"/>
      <c r="C92" s="4" t="n"/>
      <c r="D92" s="4" t="n"/>
      <c r="E92" s="4" t="n"/>
      <c r="F92" s="4" t="n"/>
      <c r="G92" s="4" t="n"/>
      <c r="H92" s="4" t="n"/>
      <c r="I92" s="5" t="n"/>
      <c r="J92" s="5" t="n"/>
      <c r="K92" s="5" t="n"/>
      <c r="L92" s="5" t="n"/>
      <c r="M92" s="5" t="n"/>
      <c r="N92" s="4" t="n"/>
      <c r="O92" s="4" t="n"/>
      <c r="P92" s="20" t="n"/>
      <c r="Q92" s="30" t="n"/>
      <c r="R92" s="21">
        <f>IF($A92="","",ROUND(P92*Q92,2))</f>
        <v/>
      </c>
      <c r="S92" s="5" t="n"/>
      <c r="T92" s="4" t="n"/>
      <c r="U92" s="5" t="n"/>
      <c r="V92" s="21">
        <f>IF($A92="","",ROUND(P92-R92,2))</f>
        <v/>
      </c>
      <c r="W92" s="5" t="n"/>
      <c r="X92" s="4" t="n"/>
      <c r="Y92" s="5" t="n"/>
      <c r="Z92" s="21">
        <f>IF($A92="","",IF(T92="Pagado",N(R92),0)+IF(X92="Pagado",N(V92),0))</f>
        <v/>
      </c>
      <c r="AA92" s="21">
        <f>IF($A92="","",ROUND(N(P92)-N(Z92),2))</f>
        <v/>
      </c>
      <c r="AB92" s="21">
        <f>IF($A92="","",SUMIF('OTROS COMPONENTES'!$A$4:$A$200,$A92,'OTROS COMPONENTES'!$D$4:$D$200))</f>
        <v/>
      </c>
      <c r="AC92" s="21">
        <f>IF($A92="","",SUMIF('OTROS COMPONENTES'!$A$4:$A$200,$A92,'OTROS COMPONENTES'!$E$4:$E$200))</f>
        <v/>
      </c>
      <c r="AD92" s="21">
        <f>IF($A92="","",ROUND(N(AB92)-N(AC92),2))</f>
        <v/>
      </c>
      <c r="AE92" s="21">
        <f>IF($A92="","",ROUND(N(P92)+N(AB92),2))</f>
        <v/>
      </c>
      <c r="AF92" s="21">
        <f>IF($A92="","",ROUND(N(Z92)+N(AC92),2))</f>
        <v/>
      </c>
      <c r="AG92" s="21">
        <f>IF($A92="","",ROUND(N(AA92)+N(AD92),2))</f>
        <v/>
      </c>
      <c r="AH92" s="9">
        <f>IF($A92="","",IF(OR($H92="Por confirmar",$H92="Cerrado"),"No","Sí"))</f>
        <v/>
      </c>
      <c r="AI92" s="21">
        <f>IF($A92="","",IF(AH92="No",0,IF(RESUMEN!$B$4="Saldo por pagar al fabricante",AA92,IF(RESUMEN!$B$4="Monto completo del pedido",P92,IF(OR($H92="Embarcando",$H92="Embarcado"),N(AA92),N(P92))))))</f>
        <v/>
      </c>
      <c r="AJ92" s="9">
        <f>IF($A92="","",IF(COUNTIF($A$4:$A$200,$A92)&gt;1,"ID_Pedido repetido",IF(N($P92)&lt;=0,"Falta el costo del fabricante",IF($F92="","Falta el proyecto",IF($G92="","Falta el cliente",IF(AND($H92&lt;&gt;"Por confirmar",N($R92)&gt;0,$T92=""),"Falta el estado del anticipo",IF(AND($H92&lt;&gt;"Por confirmar",N($V92)&gt;0,$X92=""),"Falta el estado del balance",IF($E92&gt;1,""&amp;$E92&amp;" equipos en una fila: pártela en una por proyecto",IF(AND($X92="Pendiente",N($V92)&gt;0,$W92=""),"Falta la fecha en que vence el balance",IF(AND($H92&lt;&gt;"Por confirmar",$H92&lt;&gt;"Cerrado",$AI92=0),"Consume 0 de cupo pero no está Por confirmar",""))))))))))</f>
        <v/>
      </c>
      <c r="AK92" s="4" t="n"/>
    </row>
    <row r="93">
      <c r="A93" s="4" t="n"/>
      <c r="B93" s="4" t="n"/>
      <c r="C93" s="4" t="n"/>
      <c r="D93" s="4" t="n"/>
      <c r="E93" s="4" t="n"/>
      <c r="F93" s="4" t="n"/>
      <c r="G93" s="4" t="n"/>
      <c r="H93" s="4" t="n"/>
      <c r="I93" s="5" t="n"/>
      <c r="J93" s="5" t="n"/>
      <c r="K93" s="5" t="n"/>
      <c r="L93" s="5" t="n"/>
      <c r="M93" s="5" t="n"/>
      <c r="N93" s="4" t="n"/>
      <c r="O93" s="4" t="n"/>
      <c r="P93" s="20" t="n"/>
      <c r="Q93" s="30" t="n"/>
      <c r="R93" s="21">
        <f>IF($A93="","",ROUND(P93*Q93,2))</f>
        <v/>
      </c>
      <c r="S93" s="5" t="n"/>
      <c r="T93" s="4" t="n"/>
      <c r="U93" s="5" t="n"/>
      <c r="V93" s="21">
        <f>IF($A93="","",ROUND(P93-R93,2))</f>
        <v/>
      </c>
      <c r="W93" s="5" t="n"/>
      <c r="X93" s="4" t="n"/>
      <c r="Y93" s="5" t="n"/>
      <c r="Z93" s="21">
        <f>IF($A93="","",IF(T93="Pagado",N(R93),0)+IF(X93="Pagado",N(V93),0))</f>
        <v/>
      </c>
      <c r="AA93" s="21">
        <f>IF($A93="","",ROUND(N(P93)-N(Z93),2))</f>
        <v/>
      </c>
      <c r="AB93" s="21">
        <f>IF($A93="","",SUMIF('OTROS COMPONENTES'!$A$4:$A$200,$A93,'OTROS COMPONENTES'!$D$4:$D$200))</f>
        <v/>
      </c>
      <c r="AC93" s="21">
        <f>IF($A93="","",SUMIF('OTROS COMPONENTES'!$A$4:$A$200,$A93,'OTROS COMPONENTES'!$E$4:$E$200))</f>
        <v/>
      </c>
      <c r="AD93" s="21">
        <f>IF($A93="","",ROUND(N(AB93)-N(AC93),2))</f>
        <v/>
      </c>
      <c r="AE93" s="21">
        <f>IF($A93="","",ROUND(N(P93)+N(AB93),2))</f>
        <v/>
      </c>
      <c r="AF93" s="21">
        <f>IF($A93="","",ROUND(N(Z93)+N(AC93),2))</f>
        <v/>
      </c>
      <c r="AG93" s="21">
        <f>IF($A93="","",ROUND(N(AA93)+N(AD93),2))</f>
        <v/>
      </c>
      <c r="AH93" s="9">
        <f>IF($A93="","",IF(OR($H93="Por confirmar",$H93="Cerrado"),"No","Sí"))</f>
        <v/>
      </c>
      <c r="AI93" s="21">
        <f>IF($A93="","",IF(AH93="No",0,IF(RESUMEN!$B$4="Saldo por pagar al fabricante",AA93,IF(RESUMEN!$B$4="Monto completo del pedido",P93,IF(OR($H93="Embarcando",$H93="Embarcado"),N(AA93),N(P93))))))</f>
        <v/>
      </c>
      <c r="AJ93" s="9">
        <f>IF($A93="","",IF(COUNTIF($A$4:$A$200,$A93)&gt;1,"ID_Pedido repetido",IF(N($P93)&lt;=0,"Falta el costo del fabricante",IF($F93="","Falta el proyecto",IF($G93="","Falta el cliente",IF(AND($H93&lt;&gt;"Por confirmar",N($R93)&gt;0,$T93=""),"Falta el estado del anticipo",IF(AND($H93&lt;&gt;"Por confirmar",N($V93)&gt;0,$X93=""),"Falta el estado del balance",IF($E93&gt;1,""&amp;$E93&amp;" equipos en una fila: pártela en una por proyecto",IF(AND($X93="Pendiente",N($V93)&gt;0,$W93=""),"Falta la fecha en que vence el balance",IF(AND($H93&lt;&gt;"Por confirmar",$H93&lt;&gt;"Cerrado",$AI93=0),"Consume 0 de cupo pero no está Por confirmar",""))))))))))</f>
        <v/>
      </c>
      <c r="AK93" s="4" t="n"/>
    </row>
    <row r="94">
      <c r="A94" s="4" t="n"/>
      <c r="B94" s="4" t="n"/>
      <c r="C94" s="4" t="n"/>
      <c r="D94" s="4" t="n"/>
      <c r="E94" s="4" t="n"/>
      <c r="F94" s="4" t="n"/>
      <c r="G94" s="4" t="n"/>
      <c r="H94" s="4" t="n"/>
      <c r="I94" s="5" t="n"/>
      <c r="J94" s="5" t="n"/>
      <c r="K94" s="5" t="n"/>
      <c r="L94" s="5" t="n"/>
      <c r="M94" s="5" t="n"/>
      <c r="N94" s="4" t="n"/>
      <c r="O94" s="4" t="n"/>
      <c r="P94" s="20" t="n"/>
      <c r="Q94" s="30" t="n"/>
      <c r="R94" s="21">
        <f>IF($A94="","",ROUND(P94*Q94,2))</f>
        <v/>
      </c>
      <c r="S94" s="5" t="n"/>
      <c r="T94" s="4" t="n"/>
      <c r="U94" s="5" t="n"/>
      <c r="V94" s="21">
        <f>IF($A94="","",ROUND(P94-R94,2))</f>
        <v/>
      </c>
      <c r="W94" s="5" t="n"/>
      <c r="X94" s="4" t="n"/>
      <c r="Y94" s="5" t="n"/>
      <c r="Z94" s="21">
        <f>IF($A94="","",IF(T94="Pagado",N(R94),0)+IF(X94="Pagado",N(V94),0))</f>
        <v/>
      </c>
      <c r="AA94" s="21">
        <f>IF($A94="","",ROUND(N(P94)-N(Z94),2))</f>
        <v/>
      </c>
      <c r="AB94" s="21">
        <f>IF($A94="","",SUMIF('OTROS COMPONENTES'!$A$4:$A$200,$A94,'OTROS COMPONENTES'!$D$4:$D$200))</f>
        <v/>
      </c>
      <c r="AC94" s="21">
        <f>IF($A94="","",SUMIF('OTROS COMPONENTES'!$A$4:$A$200,$A94,'OTROS COMPONENTES'!$E$4:$E$200))</f>
        <v/>
      </c>
      <c r="AD94" s="21">
        <f>IF($A94="","",ROUND(N(AB94)-N(AC94),2))</f>
        <v/>
      </c>
      <c r="AE94" s="21">
        <f>IF($A94="","",ROUND(N(P94)+N(AB94),2))</f>
        <v/>
      </c>
      <c r="AF94" s="21">
        <f>IF($A94="","",ROUND(N(Z94)+N(AC94),2))</f>
        <v/>
      </c>
      <c r="AG94" s="21">
        <f>IF($A94="","",ROUND(N(AA94)+N(AD94),2))</f>
        <v/>
      </c>
      <c r="AH94" s="9">
        <f>IF($A94="","",IF(OR($H94="Por confirmar",$H94="Cerrado"),"No","Sí"))</f>
        <v/>
      </c>
      <c r="AI94" s="21">
        <f>IF($A94="","",IF(AH94="No",0,IF(RESUMEN!$B$4="Saldo por pagar al fabricante",AA94,IF(RESUMEN!$B$4="Monto completo del pedido",P94,IF(OR($H94="Embarcando",$H94="Embarcado"),N(AA94),N(P94))))))</f>
        <v/>
      </c>
      <c r="AJ94" s="9">
        <f>IF($A94="","",IF(COUNTIF($A$4:$A$200,$A94)&gt;1,"ID_Pedido repetido",IF(N($P94)&lt;=0,"Falta el costo del fabricante",IF($F94="","Falta el proyecto",IF($G94="","Falta el cliente",IF(AND($H94&lt;&gt;"Por confirmar",N($R94)&gt;0,$T94=""),"Falta el estado del anticipo",IF(AND($H94&lt;&gt;"Por confirmar",N($V94)&gt;0,$X94=""),"Falta el estado del balance",IF($E94&gt;1,""&amp;$E94&amp;" equipos en una fila: pártela en una por proyecto",IF(AND($X94="Pendiente",N($V94)&gt;0,$W94=""),"Falta la fecha en que vence el balance",IF(AND($H94&lt;&gt;"Por confirmar",$H94&lt;&gt;"Cerrado",$AI94=0),"Consume 0 de cupo pero no está Por confirmar",""))))))))))</f>
        <v/>
      </c>
      <c r="AK94" s="4" t="n"/>
    </row>
    <row r="95">
      <c r="A95" s="4" t="n"/>
      <c r="B95" s="4" t="n"/>
      <c r="C95" s="4" t="n"/>
      <c r="D95" s="4" t="n"/>
      <c r="E95" s="4" t="n"/>
      <c r="F95" s="4" t="n"/>
      <c r="G95" s="4" t="n"/>
      <c r="H95" s="4" t="n"/>
      <c r="I95" s="5" t="n"/>
      <c r="J95" s="5" t="n"/>
      <c r="K95" s="5" t="n"/>
      <c r="L95" s="5" t="n"/>
      <c r="M95" s="5" t="n"/>
      <c r="N95" s="4" t="n"/>
      <c r="O95" s="4" t="n"/>
      <c r="P95" s="20" t="n"/>
      <c r="Q95" s="30" t="n"/>
      <c r="R95" s="21">
        <f>IF($A95="","",ROUND(P95*Q95,2))</f>
        <v/>
      </c>
      <c r="S95" s="5" t="n"/>
      <c r="T95" s="4" t="n"/>
      <c r="U95" s="5" t="n"/>
      <c r="V95" s="21">
        <f>IF($A95="","",ROUND(P95-R95,2))</f>
        <v/>
      </c>
      <c r="W95" s="5" t="n"/>
      <c r="X95" s="4" t="n"/>
      <c r="Y95" s="5" t="n"/>
      <c r="Z95" s="21">
        <f>IF($A95="","",IF(T95="Pagado",N(R95),0)+IF(X95="Pagado",N(V95),0))</f>
        <v/>
      </c>
      <c r="AA95" s="21">
        <f>IF($A95="","",ROUND(N(P95)-N(Z95),2))</f>
        <v/>
      </c>
      <c r="AB95" s="21">
        <f>IF($A95="","",SUMIF('OTROS COMPONENTES'!$A$4:$A$200,$A95,'OTROS COMPONENTES'!$D$4:$D$200))</f>
        <v/>
      </c>
      <c r="AC95" s="21">
        <f>IF($A95="","",SUMIF('OTROS COMPONENTES'!$A$4:$A$200,$A95,'OTROS COMPONENTES'!$E$4:$E$200))</f>
        <v/>
      </c>
      <c r="AD95" s="21">
        <f>IF($A95="","",ROUND(N(AB95)-N(AC95),2))</f>
        <v/>
      </c>
      <c r="AE95" s="21">
        <f>IF($A95="","",ROUND(N(P95)+N(AB95),2))</f>
        <v/>
      </c>
      <c r="AF95" s="21">
        <f>IF($A95="","",ROUND(N(Z95)+N(AC95),2))</f>
        <v/>
      </c>
      <c r="AG95" s="21">
        <f>IF($A95="","",ROUND(N(AA95)+N(AD95),2))</f>
        <v/>
      </c>
      <c r="AH95" s="9">
        <f>IF($A95="","",IF(OR($H95="Por confirmar",$H95="Cerrado"),"No","Sí"))</f>
        <v/>
      </c>
      <c r="AI95" s="21">
        <f>IF($A95="","",IF(AH95="No",0,IF(RESUMEN!$B$4="Saldo por pagar al fabricante",AA95,IF(RESUMEN!$B$4="Monto completo del pedido",P95,IF(OR($H95="Embarcando",$H95="Embarcado"),N(AA95),N(P95))))))</f>
        <v/>
      </c>
      <c r="AJ95" s="9">
        <f>IF($A95="","",IF(COUNTIF($A$4:$A$200,$A95)&gt;1,"ID_Pedido repetido",IF(N($P95)&lt;=0,"Falta el costo del fabricante",IF($F95="","Falta el proyecto",IF($G95="","Falta el cliente",IF(AND($H95&lt;&gt;"Por confirmar",N($R95)&gt;0,$T95=""),"Falta el estado del anticipo",IF(AND($H95&lt;&gt;"Por confirmar",N($V95)&gt;0,$X95=""),"Falta el estado del balance",IF($E95&gt;1,""&amp;$E95&amp;" equipos en una fila: pártela en una por proyecto",IF(AND($X95="Pendiente",N($V95)&gt;0,$W95=""),"Falta la fecha en que vence el balance",IF(AND($H95&lt;&gt;"Por confirmar",$H95&lt;&gt;"Cerrado",$AI95=0),"Consume 0 de cupo pero no está Por confirmar",""))))))))))</f>
        <v/>
      </c>
      <c r="AK95" s="4" t="n"/>
    </row>
    <row r="96">
      <c r="A96" s="4" t="n"/>
      <c r="B96" s="4" t="n"/>
      <c r="C96" s="4" t="n"/>
      <c r="D96" s="4" t="n"/>
      <c r="E96" s="4" t="n"/>
      <c r="F96" s="4" t="n"/>
      <c r="G96" s="4" t="n"/>
      <c r="H96" s="4" t="n"/>
      <c r="I96" s="5" t="n"/>
      <c r="J96" s="5" t="n"/>
      <c r="K96" s="5" t="n"/>
      <c r="L96" s="5" t="n"/>
      <c r="M96" s="5" t="n"/>
      <c r="N96" s="4" t="n"/>
      <c r="O96" s="4" t="n"/>
      <c r="P96" s="20" t="n"/>
      <c r="Q96" s="30" t="n"/>
      <c r="R96" s="21">
        <f>IF($A96="","",ROUND(P96*Q96,2))</f>
        <v/>
      </c>
      <c r="S96" s="5" t="n"/>
      <c r="T96" s="4" t="n"/>
      <c r="U96" s="5" t="n"/>
      <c r="V96" s="21">
        <f>IF($A96="","",ROUND(P96-R96,2))</f>
        <v/>
      </c>
      <c r="W96" s="5" t="n"/>
      <c r="X96" s="4" t="n"/>
      <c r="Y96" s="5" t="n"/>
      <c r="Z96" s="21">
        <f>IF($A96="","",IF(T96="Pagado",N(R96),0)+IF(X96="Pagado",N(V96),0))</f>
        <v/>
      </c>
      <c r="AA96" s="21">
        <f>IF($A96="","",ROUND(N(P96)-N(Z96),2))</f>
        <v/>
      </c>
      <c r="AB96" s="21">
        <f>IF($A96="","",SUMIF('OTROS COMPONENTES'!$A$4:$A$200,$A96,'OTROS COMPONENTES'!$D$4:$D$200))</f>
        <v/>
      </c>
      <c r="AC96" s="21">
        <f>IF($A96="","",SUMIF('OTROS COMPONENTES'!$A$4:$A$200,$A96,'OTROS COMPONENTES'!$E$4:$E$200))</f>
        <v/>
      </c>
      <c r="AD96" s="21">
        <f>IF($A96="","",ROUND(N(AB96)-N(AC96),2))</f>
        <v/>
      </c>
      <c r="AE96" s="21">
        <f>IF($A96="","",ROUND(N(P96)+N(AB96),2))</f>
        <v/>
      </c>
      <c r="AF96" s="21">
        <f>IF($A96="","",ROUND(N(Z96)+N(AC96),2))</f>
        <v/>
      </c>
      <c r="AG96" s="21">
        <f>IF($A96="","",ROUND(N(AA96)+N(AD96),2))</f>
        <v/>
      </c>
      <c r="AH96" s="9">
        <f>IF($A96="","",IF(OR($H96="Por confirmar",$H96="Cerrado"),"No","Sí"))</f>
        <v/>
      </c>
      <c r="AI96" s="21">
        <f>IF($A96="","",IF(AH96="No",0,IF(RESUMEN!$B$4="Saldo por pagar al fabricante",AA96,IF(RESUMEN!$B$4="Monto completo del pedido",P96,IF(OR($H96="Embarcando",$H96="Embarcado"),N(AA96),N(P96))))))</f>
        <v/>
      </c>
      <c r="AJ96" s="9">
        <f>IF($A96="","",IF(COUNTIF($A$4:$A$200,$A96)&gt;1,"ID_Pedido repetido",IF(N($P96)&lt;=0,"Falta el costo del fabricante",IF($F96="","Falta el proyecto",IF($G96="","Falta el cliente",IF(AND($H96&lt;&gt;"Por confirmar",N($R96)&gt;0,$T96=""),"Falta el estado del anticipo",IF(AND($H96&lt;&gt;"Por confirmar",N($V96)&gt;0,$X96=""),"Falta el estado del balance",IF($E96&gt;1,""&amp;$E96&amp;" equipos en una fila: pártela en una por proyecto",IF(AND($X96="Pendiente",N($V96)&gt;0,$W96=""),"Falta la fecha en que vence el balance",IF(AND($H96&lt;&gt;"Por confirmar",$H96&lt;&gt;"Cerrado",$AI96=0),"Consume 0 de cupo pero no está Por confirmar",""))))))))))</f>
        <v/>
      </c>
      <c r="AK96" s="4" t="n"/>
    </row>
    <row r="97">
      <c r="A97" s="4" t="n"/>
      <c r="B97" s="4" t="n"/>
      <c r="C97" s="4" t="n"/>
      <c r="D97" s="4" t="n"/>
      <c r="E97" s="4" t="n"/>
      <c r="F97" s="4" t="n"/>
      <c r="G97" s="4" t="n"/>
      <c r="H97" s="4" t="n"/>
      <c r="I97" s="5" t="n"/>
      <c r="J97" s="5" t="n"/>
      <c r="K97" s="5" t="n"/>
      <c r="L97" s="5" t="n"/>
      <c r="M97" s="5" t="n"/>
      <c r="N97" s="4" t="n"/>
      <c r="O97" s="4" t="n"/>
      <c r="P97" s="20" t="n"/>
      <c r="Q97" s="30" t="n"/>
      <c r="R97" s="21">
        <f>IF($A97="","",ROUND(P97*Q97,2))</f>
        <v/>
      </c>
      <c r="S97" s="5" t="n"/>
      <c r="T97" s="4" t="n"/>
      <c r="U97" s="5" t="n"/>
      <c r="V97" s="21">
        <f>IF($A97="","",ROUND(P97-R97,2))</f>
        <v/>
      </c>
      <c r="W97" s="5" t="n"/>
      <c r="X97" s="4" t="n"/>
      <c r="Y97" s="5" t="n"/>
      <c r="Z97" s="21">
        <f>IF($A97="","",IF(T97="Pagado",N(R97),0)+IF(X97="Pagado",N(V97),0))</f>
        <v/>
      </c>
      <c r="AA97" s="21">
        <f>IF($A97="","",ROUND(N(P97)-N(Z97),2))</f>
        <v/>
      </c>
      <c r="AB97" s="21">
        <f>IF($A97="","",SUMIF('OTROS COMPONENTES'!$A$4:$A$200,$A97,'OTROS COMPONENTES'!$D$4:$D$200))</f>
        <v/>
      </c>
      <c r="AC97" s="21">
        <f>IF($A97="","",SUMIF('OTROS COMPONENTES'!$A$4:$A$200,$A97,'OTROS COMPONENTES'!$E$4:$E$200))</f>
        <v/>
      </c>
      <c r="AD97" s="21">
        <f>IF($A97="","",ROUND(N(AB97)-N(AC97),2))</f>
        <v/>
      </c>
      <c r="AE97" s="21">
        <f>IF($A97="","",ROUND(N(P97)+N(AB97),2))</f>
        <v/>
      </c>
      <c r="AF97" s="21">
        <f>IF($A97="","",ROUND(N(Z97)+N(AC97),2))</f>
        <v/>
      </c>
      <c r="AG97" s="21">
        <f>IF($A97="","",ROUND(N(AA97)+N(AD97),2))</f>
        <v/>
      </c>
      <c r="AH97" s="9">
        <f>IF($A97="","",IF(OR($H97="Por confirmar",$H97="Cerrado"),"No","Sí"))</f>
        <v/>
      </c>
      <c r="AI97" s="21">
        <f>IF($A97="","",IF(AH97="No",0,IF(RESUMEN!$B$4="Saldo por pagar al fabricante",AA97,IF(RESUMEN!$B$4="Monto completo del pedido",P97,IF(OR($H97="Embarcando",$H97="Embarcado"),N(AA97),N(P97))))))</f>
        <v/>
      </c>
      <c r="AJ97" s="9">
        <f>IF($A97="","",IF(COUNTIF($A$4:$A$200,$A97)&gt;1,"ID_Pedido repetido",IF(N($P97)&lt;=0,"Falta el costo del fabricante",IF($F97="","Falta el proyecto",IF($G97="","Falta el cliente",IF(AND($H97&lt;&gt;"Por confirmar",N($R97)&gt;0,$T97=""),"Falta el estado del anticipo",IF(AND($H97&lt;&gt;"Por confirmar",N($V97)&gt;0,$X97=""),"Falta el estado del balance",IF($E97&gt;1,""&amp;$E97&amp;" equipos en una fila: pártela en una por proyecto",IF(AND($X97="Pendiente",N($V97)&gt;0,$W97=""),"Falta la fecha en que vence el balance",IF(AND($H97&lt;&gt;"Por confirmar",$H97&lt;&gt;"Cerrado",$AI97=0),"Consume 0 de cupo pero no está Por confirmar",""))))))))))</f>
        <v/>
      </c>
      <c r="AK97" s="4" t="n"/>
    </row>
    <row r="98">
      <c r="A98" s="4" t="n"/>
      <c r="B98" s="4" t="n"/>
      <c r="C98" s="4" t="n"/>
      <c r="D98" s="4" t="n"/>
      <c r="E98" s="4" t="n"/>
      <c r="F98" s="4" t="n"/>
      <c r="G98" s="4" t="n"/>
      <c r="H98" s="4" t="n"/>
      <c r="I98" s="5" t="n"/>
      <c r="J98" s="5" t="n"/>
      <c r="K98" s="5" t="n"/>
      <c r="L98" s="5" t="n"/>
      <c r="M98" s="5" t="n"/>
      <c r="N98" s="4" t="n"/>
      <c r="O98" s="4" t="n"/>
      <c r="P98" s="20" t="n"/>
      <c r="Q98" s="30" t="n"/>
      <c r="R98" s="21">
        <f>IF($A98="","",ROUND(P98*Q98,2))</f>
        <v/>
      </c>
      <c r="S98" s="5" t="n"/>
      <c r="T98" s="4" t="n"/>
      <c r="U98" s="5" t="n"/>
      <c r="V98" s="21">
        <f>IF($A98="","",ROUND(P98-R98,2))</f>
        <v/>
      </c>
      <c r="W98" s="5" t="n"/>
      <c r="X98" s="4" t="n"/>
      <c r="Y98" s="5" t="n"/>
      <c r="Z98" s="21">
        <f>IF($A98="","",IF(T98="Pagado",N(R98),0)+IF(X98="Pagado",N(V98),0))</f>
        <v/>
      </c>
      <c r="AA98" s="21">
        <f>IF($A98="","",ROUND(N(P98)-N(Z98),2))</f>
        <v/>
      </c>
      <c r="AB98" s="21">
        <f>IF($A98="","",SUMIF('OTROS COMPONENTES'!$A$4:$A$200,$A98,'OTROS COMPONENTES'!$D$4:$D$200))</f>
        <v/>
      </c>
      <c r="AC98" s="21">
        <f>IF($A98="","",SUMIF('OTROS COMPONENTES'!$A$4:$A$200,$A98,'OTROS COMPONENTES'!$E$4:$E$200))</f>
        <v/>
      </c>
      <c r="AD98" s="21">
        <f>IF($A98="","",ROUND(N(AB98)-N(AC98),2))</f>
        <v/>
      </c>
      <c r="AE98" s="21">
        <f>IF($A98="","",ROUND(N(P98)+N(AB98),2))</f>
        <v/>
      </c>
      <c r="AF98" s="21">
        <f>IF($A98="","",ROUND(N(Z98)+N(AC98),2))</f>
        <v/>
      </c>
      <c r="AG98" s="21">
        <f>IF($A98="","",ROUND(N(AA98)+N(AD98),2))</f>
        <v/>
      </c>
      <c r="AH98" s="9">
        <f>IF($A98="","",IF(OR($H98="Por confirmar",$H98="Cerrado"),"No","Sí"))</f>
        <v/>
      </c>
      <c r="AI98" s="21">
        <f>IF($A98="","",IF(AH98="No",0,IF(RESUMEN!$B$4="Saldo por pagar al fabricante",AA98,IF(RESUMEN!$B$4="Monto completo del pedido",P98,IF(OR($H98="Embarcando",$H98="Embarcado"),N(AA98),N(P98))))))</f>
        <v/>
      </c>
      <c r="AJ98" s="9">
        <f>IF($A98="","",IF(COUNTIF($A$4:$A$200,$A98)&gt;1,"ID_Pedido repetido",IF(N($P98)&lt;=0,"Falta el costo del fabricante",IF($F98="","Falta el proyecto",IF($G98="","Falta el cliente",IF(AND($H98&lt;&gt;"Por confirmar",N($R98)&gt;0,$T98=""),"Falta el estado del anticipo",IF(AND($H98&lt;&gt;"Por confirmar",N($V98)&gt;0,$X98=""),"Falta el estado del balance",IF($E98&gt;1,""&amp;$E98&amp;" equipos en una fila: pártela en una por proyecto",IF(AND($X98="Pendiente",N($V98)&gt;0,$W98=""),"Falta la fecha en que vence el balance",IF(AND($H98&lt;&gt;"Por confirmar",$H98&lt;&gt;"Cerrado",$AI98=0),"Consume 0 de cupo pero no está Por confirmar",""))))))))))</f>
        <v/>
      </c>
      <c r="AK98" s="4" t="n"/>
    </row>
    <row r="99">
      <c r="A99" s="4" t="n"/>
      <c r="B99" s="4" t="n"/>
      <c r="C99" s="4" t="n"/>
      <c r="D99" s="4" t="n"/>
      <c r="E99" s="4" t="n"/>
      <c r="F99" s="4" t="n"/>
      <c r="G99" s="4" t="n"/>
      <c r="H99" s="4" t="n"/>
      <c r="I99" s="5" t="n"/>
      <c r="J99" s="5" t="n"/>
      <c r="K99" s="5" t="n"/>
      <c r="L99" s="5" t="n"/>
      <c r="M99" s="5" t="n"/>
      <c r="N99" s="4" t="n"/>
      <c r="O99" s="4" t="n"/>
      <c r="P99" s="20" t="n"/>
      <c r="Q99" s="30" t="n"/>
      <c r="R99" s="21">
        <f>IF($A99="","",ROUND(P99*Q99,2))</f>
        <v/>
      </c>
      <c r="S99" s="5" t="n"/>
      <c r="T99" s="4" t="n"/>
      <c r="U99" s="5" t="n"/>
      <c r="V99" s="21">
        <f>IF($A99="","",ROUND(P99-R99,2))</f>
        <v/>
      </c>
      <c r="W99" s="5" t="n"/>
      <c r="X99" s="4" t="n"/>
      <c r="Y99" s="5" t="n"/>
      <c r="Z99" s="21">
        <f>IF($A99="","",IF(T99="Pagado",N(R99),0)+IF(X99="Pagado",N(V99),0))</f>
        <v/>
      </c>
      <c r="AA99" s="21">
        <f>IF($A99="","",ROUND(N(P99)-N(Z99),2))</f>
        <v/>
      </c>
      <c r="AB99" s="21">
        <f>IF($A99="","",SUMIF('OTROS COMPONENTES'!$A$4:$A$200,$A99,'OTROS COMPONENTES'!$D$4:$D$200))</f>
        <v/>
      </c>
      <c r="AC99" s="21">
        <f>IF($A99="","",SUMIF('OTROS COMPONENTES'!$A$4:$A$200,$A99,'OTROS COMPONENTES'!$E$4:$E$200))</f>
        <v/>
      </c>
      <c r="AD99" s="21">
        <f>IF($A99="","",ROUND(N(AB99)-N(AC99),2))</f>
        <v/>
      </c>
      <c r="AE99" s="21">
        <f>IF($A99="","",ROUND(N(P99)+N(AB99),2))</f>
        <v/>
      </c>
      <c r="AF99" s="21">
        <f>IF($A99="","",ROUND(N(Z99)+N(AC99),2))</f>
        <v/>
      </c>
      <c r="AG99" s="21">
        <f>IF($A99="","",ROUND(N(AA99)+N(AD99),2))</f>
        <v/>
      </c>
      <c r="AH99" s="9">
        <f>IF($A99="","",IF(OR($H99="Por confirmar",$H99="Cerrado"),"No","Sí"))</f>
        <v/>
      </c>
      <c r="AI99" s="21">
        <f>IF($A99="","",IF(AH99="No",0,IF(RESUMEN!$B$4="Saldo por pagar al fabricante",AA99,IF(RESUMEN!$B$4="Monto completo del pedido",P99,IF(OR($H99="Embarcando",$H99="Embarcado"),N(AA99),N(P99))))))</f>
        <v/>
      </c>
      <c r="AJ99" s="9">
        <f>IF($A99="","",IF(COUNTIF($A$4:$A$200,$A99)&gt;1,"ID_Pedido repetido",IF(N($P99)&lt;=0,"Falta el costo del fabricante",IF($F99="","Falta el proyecto",IF($G99="","Falta el cliente",IF(AND($H99&lt;&gt;"Por confirmar",N($R99)&gt;0,$T99=""),"Falta el estado del anticipo",IF(AND($H99&lt;&gt;"Por confirmar",N($V99)&gt;0,$X99=""),"Falta el estado del balance",IF($E99&gt;1,""&amp;$E99&amp;" equipos en una fila: pártela en una por proyecto",IF(AND($X99="Pendiente",N($V99)&gt;0,$W99=""),"Falta la fecha en que vence el balance",IF(AND($H99&lt;&gt;"Por confirmar",$H99&lt;&gt;"Cerrado",$AI99=0),"Consume 0 de cupo pero no está Por confirmar",""))))))))))</f>
        <v/>
      </c>
      <c r="AK99" s="4" t="n"/>
    </row>
    <row r="100">
      <c r="A100" s="4" t="n"/>
      <c r="B100" s="4" t="n"/>
      <c r="C100" s="4" t="n"/>
      <c r="D100" s="4" t="n"/>
      <c r="E100" s="4" t="n"/>
      <c r="F100" s="4" t="n"/>
      <c r="G100" s="4" t="n"/>
      <c r="H100" s="4" t="n"/>
      <c r="I100" s="5" t="n"/>
      <c r="J100" s="5" t="n"/>
      <c r="K100" s="5" t="n"/>
      <c r="L100" s="5" t="n"/>
      <c r="M100" s="5" t="n"/>
      <c r="N100" s="4" t="n"/>
      <c r="O100" s="4" t="n"/>
      <c r="P100" s="20" t="n"/>
      <c r="Q100" s="30" t="n"/>
      <c r="R100" s="21">
        <f>IF($A100="","",ROUND(P100*Q100,2))</f>
        <v/>
      </c>
      <c r="S100" s="5" t="n"/>
      <c r="T100" s="4" t="n"/>
      <c r="U100" s="5" t="n"/>
      <c r="V100" s="21">
        <f>IF($A100="","",ROUND(P100-R100,2))</f>
        <v/>
      </c>
      <c r="W100" s="5" t="n"/>
      <c r="X100" s="4" t="n"/>
      <c r="Y100" s="5" t="n"/>
      <c r="Z100" s="21">
        <f>IF($A100="","",IF(T100="Pagado",N(R100),0)+IF(X100="Pagado",N(V100),0))</f>
        <v/>
      </c>
      <c r="AA100" s="21">
        <f>IF($A100="","",ROUND(N(P100)-N(Z100),2))</f>
        <v/>
      </c>
      <c r="AB100" s="21">
        <f>IF($A100="","",SUMIF('OTROS COMPONENTES'!$A$4:$A$200,$A100,'OTROS COMPONENTES'!$D$4:$D$200))</f>
        <v/>
      </c>
      <c r="AC100" s="21">
        <f>IF($A100="","",SUMIF('OTROS COMPONENTES'!$A$4:$A$200,$A100,'OTROS COMPONENTES'!$E$4:$E$200))</f>
        <v/>
      </c>
      <c r="AD100" s="21">
        <f>IF($A100="","",ROUND(N(AB100)-N(AC100),2))</f>
        <v/>
      </c>
      <c r="AE100" s="21">
        <f>IF($A100="","",ROUND(N(P100)+N(AB100),2))</f>
        <v/>
      </c>
      <c r="AF100" s="21">
        <f>IF($A100="","",ROUND(N(Z100)+N(AC100),2))</f>
        <v/>
      </c>
      <c r="AG100" s="21">
        <f>IF($A100="","",ROUND(N(AA100)+N(AD100),2))</f>
        <v/>
      </c>
      <c r="AH100" s="9">
        <f>IF($A100="","",IF(OR($H100="Por confirmar",$H100="Cerrado"),"No","Sí"))</f>
        <v/>
      </c>
      <c r="AI100" s="21">
        <f>IF($A100="","",IF(AH100="No",0,IF(RESUMEN!$B$4="Saldo por pagar al fabricante",AA100,IF(RESUMEN!$B$4="Monto completo del pedido",P100,IF(OR($H100="Embarcando",$H100="Embarcado"),N(AA100),N(P100))))))</f>
        <v/>
      </c>
      <c r="AJ100" s="9">
        <f>IF($A100="","",IF(COUNTIF($A$4:$A$200,$A100)&gt;1,"ID_Pedido repetido",IF(N($P100)&lt;=0,"Falta el costo del fabricante",IF($F100="","Falta el proyecto",IF($G100="","Falta el cliente",IF(AND($H100&lt;&gt;"Por confirmar",N($R100)&gt;0,$T100=""),"Falta el estado del anticipo",IF(AND($H100&lt;&gt;"Por confirmar",N($V100)&gt;0,$X100=""),"Falta el estado del balance",IF($E100&gt;1,""&amp;$E100&amp;" equipos en una fila: pártela en una por proyecto",IF(AND($X100="Pendiente",N($V100)&gt;0,$W100=""),"Falta la fecha en que vence el balance",IF(AND($H100&lt;&gt;"Por confirmar",$H100&lt;&gt;"Cerrado",$AI100=0),"Consume 0 de cupo pero no está Por confirmar",""))))))))))</f>
        <v/>
      </c>
      <c r="AK100" s="4" t="n"/>
    </row>
    <row r="101">
      <c r="A101" s="4" t="n"/>
      <c r="B101" s="4" t="n"/>
      <c r="C101" s="4" t="n"/>
      <c r="D101" s="4" t="n"/>
      <c r="E101" s="4" t="n"/>
      <c r="F101" s="4" t="n"/>
      <c r="G101" s="4" t="n"/>
      <c r="H101" s="4" t="n"/>
      <c r="I101" s="5" t="n"/>
      <c r="J101" s="5" t="n"/>
      <c r="K101" s="5" t="n"/>
      <c r="L101" s="5" t="n"/>
      <c r="M101" s="5" t="n"/>
      <c r="N101" s="4" t="n"/>
      <c r="O101" s="4" t="n"/>
      <c r="P101" s="20" t="n"/>
      <c r="Q101" s="30" t="n"/>
      <c r="R101" s="21">
        <f>IF($A101="","",ROUND(P101*Q101,2))</f>
        <v/>
      </c>
      <c r="S101" s="5" t="n"/>
      <c r="T101" s="4" t="n"/>
      <c r="U101" s="5" t="n"/>
      <c r="V101" s="21">
        <f>IF($A101="","",ROUND(P101-R101,2))</f>
        <v/>
      </c>
      <c r="W101" s="5" t="n"/>
      <c r="X101" s="4" t="n"/>
      <c r="Y101" s="5" t="n"/>
      <c r="Z101" s="21">
        <f>IF($A101="","",IF(T101="Pagado",N(R101),0)+IF(X101="Pagado",N(V101),0))</f>
        <v/>
      </c>
      <c r="AA101" s="21">
        <f>IF($A101="","",ROUND(N(P101)-N(Z101),2))</f>
        <v/>
      </c>
      <c r="AB101" s="21">
        <f>IF($A101="","",SUMIF('OTROS COMPONENTES'!$A$4:$A$200,$A101,'OTROS COMPONENTES'!$D$4:$D$200))</f>
        <v/>
      </c>
      <c r="AC101" s="21">
        <f>IF($A101="","",SUMIF('OTROS COMPONENTES'!$A$4:$A$200,$A101,'OTROS COMPONENTES'!$E$4:$E$200))</f>
        <v/>
      </c>
      <c r="AD101" s="21">
        <f>IF($A101="","",ROUND(N(AB101)-N(AC101),2))</f>
        <v/>
      </c>
      <c r="AE101" s="21">
        <f>IF($A101="","",ROUND(N(P101)+N(AB101),2))</f>
        <v/>
      </c>
      <c r="AF101" s="21">
        <f>IF($A101="","",ROUND(N(Z101)+N(AC101),2))</f>
        <v/>
      </c>
      <c r="AG101" s="21">
        <f>IF($A101="","",ROUND(N(AA101)+N(AD101),2))</f>
        <v/>
      </c>
      <c r="AH101" s="9">
        <f>IF($A101="","",IF(OR($H101="Por confirmar",$H101="Cerrado"),"No","Sí"))</f>
        <v/>
      </c>
      <c r="AI101" s="21">
        <f>IF($A101="","",IF(AH101="No",0,IF(RESUMEN!$B$4="Saldo por pagar al fabricante",AA101,IF(RESUMEN!$B$4="Monto completo del pedido",P101,IF(OR($H101="Embarcando",$H101="Embarcado"),N(AA101),N(P101))))))</f>
        <v/>
      </c>
      <c r="AJ101" s="9">
        <f>IF($A101="","",IF(COUNTIF($A$4:$A$200,$A101)&gt;1,"ID_Pedido repetido",IF(N($P101)&lt;=0,"Falta el costo del fabricante",IF($F101="","Falta el proyecto",IF($G101="","Falta el cliente",IF(AND($H101&lt;&gt;"Por confirmar",N($R101)&gt;0,$T101=""),"Falta el estado del anticipo",IF(AND($H101&lt;&gt;"Por confirmar",N($V101)&gt;0,$X101=""),"Falta el estado del balance",IF($E101&gt;1,""&amp;$E101&amp;" equipos en una fila: pártela en una por proyecto",IF(AND($X101="Pendiente",N($V101)&gt;0,$W101=""),"Falta la fecha en que vence el balance",IF(AND($H101&lt;&gt;"Por confirmar",$H101&lt;&gt;"Cerrado",$AI101=0),"Consume 0 de cupo pero no está Por confirmar",""))))))))))</f>
        <v/>
      </c>
      <c r="AK101" s="4" t="n"/>
    </row>
    <row r="102">
      <c r="A102" s="4" t="n"/>
      <c r="B102" s="4" t="n"/>
      <c r="C102" s="4" t="n"/>
      <c r="D102" s="4" t="n"/>
      <c r="E102" s="4" t="n"/>
      <c r="F102" s="4" t="n"/>
      <c r="G102" s="4" t="n"/>
      <c r="H102" s="4" t="n"/>
      <c r="I102" s="5" t="n"/>
      <c r="J102" s="5" t="n"/>
      <c r="K102" s="5" t="n"/>
      <c r="L102" s="5" t="n"/>
      <c r="M102" s="5" t="n"/>
      <c r="N102" s="4" t="n"/>
      <c r="O102" s="4" t="n"/>
      <c r="P102" s="20" t="n"/>
      <c r="Q102" s="30" t="n"/>
      <c r="R102" s="21">
        <f>IF($A102="","",ROUND(P102*Q102,2))</f>
        <v/>
      </c>
      <c r="S102" s="5" t="n"/>
      <c r="T102" s="4" t="n"/>
      <c r="U102" s="5" t="n"/>
      <c r="V102" s="21">
        <f>IF($A102="","",ROUND(P102-R102,2))</f>
        <v/>
      </c>
      <c r="W102" s="5" t="n"/>
      <c r="X102" s="4" t="n"/>
      <c r="Y102" s="5" t="n"/>
      <c r="Z102" s="21">
        <f>IF($A102="","",IF(T102="Pagado",N(R102),0)+IF(X102="Pagado",N(V102),0))</f>
        <v/>
      </c>
      <c r="AA102" s="21">
        <f>IF($A102="","",ROUND(N(P102)-N(Z102),2))</f>
        <v/>
      </c>
      <c r="AB102" s="21">
        <f>IF($A102="","",SUMIF('OTROS COMPONENTES'!$A$4:$A$200,$A102,'OTROS COMPONENTES'!$D$4:$D$200))</f>
        <v/>
      </c>
      <c r="AC102" s="21">
        <f>IF($A102="","",SUMIF('OTROS COMPONENTES'!$A$4:$A$200,$A102,'OTROS COMPONENTES'!$E$4:$E$200))</f>
        <v/>
      </c>
      <c r="AD102" s="21">
        <f>IF($A102="","",ROUND(N(AB102)-N(AC102),2))</f>
        <v/>
      </c>
      <c r="AE102" s="21">
        <f>IF($A102="","",ROUND(N(P102)+N(AB102),2))</f>
        <v/>
      </c>
      <c r="AF102" s="21">
        <f>IF($A102="","",ROUND(N(Z102)+N(AC102),2))</f>
        <v/>
      </c>
      <c r="AG102" s="21">
        <f>IF($A102="","",ROUND(N(AA102)+N(AD102),2))</f>
        <v/>
      </c>
      <c r="AH102" s="9">
        <f>IF($A102="","",IF(OR($H102="Por confirmar",$H102="Cerrado"),"No","Sí"))</f>
        <v/>
      </c>
      <c r="AI102" s="21">
        <f>IF($A102="","",IF(AH102="No",0,IF(RESUMEN!$B$4="Saldo por pagar al fabricante",AA102,IF(RESUMEN!$B$4="Monto completo del pedido",P102,IF(OR($H102="Embarcando",$H102="Embarcado"),N(AA102),N(P102))))))</f>
        <v/>
      </c>
      <c r="AJ102" s="9">
        <f>IF($A102="","",IF(COUNTIF($A$4:$A$200,$A102)&gt;1,"ID_Pedido repetido",IF(N($P102)&lt;=0,"Falta el costo del fabricante",IF($F102="","Falta el proyecto",IF($G102="","Falta el cliente",IF(AND($H102&lt;&gt;"Por confirmar",N($R102)&gt;0,$T102=""),"Falta el estado del anticipo",IF(AND($H102&lt;&gt;"Por confirmar",N($V102)&gt;0,$X102=""),"Falta el estado del balance",IF($E102&gt;1,""&amp;$E102&amp;" equipos en una fila: pártela en una por proyecto",IF(AND($X102="Pendiente",N($V102)&gt;0,$W102=""),"Falta la fecha en que vence el balance",IF(AND($H102&lt;&gt;"Por confirmar",$H102&lt;&gt;"Cerrado",$AI102=0),"Consume 0 de cupo pero no está Por confirmar",""))))))))))</f>
        <v/>
      </c>
      <c r="AK102" s="4" t="n"/>
    </row>
    <row r="103">
      <c r="A103" s="4" t="n"/>
      <c r="B103" s="4" t="n"/>
      <c r="C103" s="4" t="n"/>
      <c r="D103" s="4" t="n"/>
      <c r="E103" s="4" t="n"/>
      <c r="F103" s="4" t="n"/>
      <c r="G103" s="4" t="n"/>
      <c r="H103" s="4" t="n"/>
      <c r="I103" s="5" t="n"/>
      <c r="J103" s="5" t="n"/>
      <c r="K103" s="5" t="n"/>
      <c r="L103" s="5" t="n"/>
      <c r="M103" s="5" t="n"/>
      <c r="N103" s="4" t="n"/>
      <c r="O103" s="4" t="n"/>
      <c r="P103" s="20" t="n"/>
      <c r="Q103" s="30" t="n"/>
      <c r="R103" s="21">
        <f>IF($A103="","",ROUND(P103*Q103,2))</f>
        <v/>
      </c>
      <c r="S103" s="5" t="n"/>
      <c r="T103" s="4" t="n"/>
      <c r="U103" s="5" t="n"/>
      <c r="V103" s="21">
        <f>IF($A103="","",ROUND(P103-R103,2))</f>
        <v/>
      </c>
      <c r="W103" s="5" t="n"/>
      <c r="X103" s="4" t="n"/>
      <c r="Y103" s="5" t="n"/>
      <c r="Z103" s="21">
        <f>IF($A103="","",IF(T103="Pagado",N(R103),0)+IF(X103="Pagado",N(V103),0))</f>
        <v/>
      </c>
      <c r="AA103" s="21">
        <f>IF($A103="","",ROUND(N(P103)-N(Z103),2))</f>
        <v/>
      </c>
      <c r="AB103" s="21">
        <f>IF($A103="","",SUMIF('OTROS COMPONENTES'!$A$4:$A$200,$A103,'OTROS COMPONENTES'!$D$4:$D$200))</f>
        <v/>
      </c>
      <c r="AC103" s="21">
        <f>IF($A103="","",SUMIF('OTROS COMPONENTES'!$A$4:$A$200,$A103,'OTROS COMPONENTES'!$E$4:$E$200))</f>
        <v/>
      </c>
      <c r="AD103" s="21">
        <f>IF($A103="","",ROUND(N(AB103)-N(AC103),2))</f>
        <v/>
      </c>
      <c r="AE103" s="21">
        <f>IF($A103="","",ROUND(N(P103)+N(AB103),2))</f>
        <v/>
      </c>
      <c r="AF103" s="21">
        <f>IF($A103="","",ROUND(N(Z103)+N(AC103),2))</f>
        <v/>
      </c>
      <c r="AG103" s="21">
        <f>IF($A103="","",ROUND(N(AA103)+N(AD103),2))</f>
        <v/>
      </c>
      <c r="AH103" s="9">
        <f>IF($A103="","",IF(OR($H103="Por confirmar",$H103="Cerrado"),"No","Sí"))</f>
        <v/>
      </c>
      <c r="AI103" s="21">
        <f>IF($A103="","",IF(AH103="No",0,IF(RESUMEN!$B$4="Saldo por pagar al fabricante",AA103,IF(RESUMEN!$B$4="Monto completo del pedido",P103,IF(OR($H103="Embarcando",$H103="Embarcado"),N(AA103),N(P103))))))</f>
        <v/>
      </c>
      <c r="AJ103" s="9">
        <f>IF($A103="","",IF(COUNTIF($A$4:$A$200,$A103)&gt;1,"ID_Pedido repetido",IF(N($P103)&lt;=0,"Falta el costo del fabricante",IF($F103="","Falta el proyecto",IF($G103="","Falta el cliente",IF(AND($H103&lt;&gt;"Por confirmar",N($R103)&gt;0,$T103=""),"Falta el estado del anticipo",IF(AND($H103&lt;&gt;"Por confirmar",N($V103)&gt;0,$X103=""),"Falta el estado del balance",IF($E103&gt;1,""&amp;$E103&amp;" equipos en una fila: pártela en una por proyecto",IF(AND($X103="Pendiente",N($V103)&gt;0,$W103=""),"Falta la fecha en que vence el balance",IF(AND($H103&lt;&gt;"Por confirmar",$H103&lt;&gt;"Cerrado",$AI103=0),"Consume 0 de cupo pero no está Por confirmar",""))))))))))</f>
        <v/>
      </c>
      <c r="AK103" s="4" t="n"/>
    </row>
    <row r="104">
      <c r="A104" s="4" t="n"/>
      <c r="B104" s="4" t="n"/>
      <c r="C104" s="4" t="n"/>
      <c r="D104" s="4" t="n"/>
      <c r="E104" s="4" t="n"/>
      <c r="F104" s="4" t="n"/>
      <c r="G104" s="4" t="n"/>
      <c r="H104" s="4" t="n"/>
      <c r="I104" s="5" t="n"/>
      <c r="J104" s="5" t="n"/>
      <c r="K104" s="5" t="n"/>
      <c r="L104" s="5" t="n"/>
      <c r="M104" s="5" t="n"/>
      <c r="N104" s="4" t="n"/>
      <c r="O104" s="4" t="n"/>
      <c r="P104" s="20" t="n"/>
      <c r="Q104" s="30" t="n"/>
      <c r="R104" s="21">
        <f>IF($A104="","",ROUND(P104*Q104,2))</f>
        <v/>
      </c>
      <c r="S104" s="5" t="n"/>
      <c r="T104" s="4" t="n"/>
      <c r="U104" s="5" t="n"/>
      <c r="V104" s="21">
        <f>IF($A104="","",ROUND(P104-R104,2))</f>
        <v/>
      </c>
      <c r="W104" s="5" t="n"/>
      <c r="X104" s="4" t="n"/>
      <c r="Y104" s="5" t="n"/>
      <c r="Z104" s="21">
        <f>IF($A104="","",IF(T104="Pagado",N(R104),0)+IF(X104="Pagado",N(V104),0))</f>
        <v/>
      </c>
      <c r="AA104" s="21">
        <f>IF($A104="","",ROUND(N(P104)-N(Z104),2))</f>
        <v/>
      </c>
      <c r="AB104" s="21">
        <f>IF($A104="","",SUMIF('OTROS COMPONENTES'!$A$4:$A$200,$A104,'OTROS COMPONENTES'!$D$4:$D$200))</f>
        <v/>
      </c>
      <c r="AC104" s="21">
        <f>IF($A104="","",SUMIF('OTROS COMPONENTES'!$A$4:$A$200,$A104,'OTROS COMPONENTES'!$E$4:$E$200))</f>
        <v/>
      </c>
      <c r="AD104" s="21">
        <f>IF($A104="","",ROUND(N(AB104)-N(AC104),2))</f>
        <v/>
      </c>
      <c r="AE104" s="21">
        <f>IF($A104="","",ROUND(N(P104)+N(AB104),2))</f>
        <v/>
      </c>
      <c r="AF104" s="21">
        <f>IF($A104="","",ROUND(N(Z104)+N(AC104),2))</f>
        <v/>
      </c>
      <c r="AG104" s="21">
        <f>IF($A104="","",ROUND(N(AA104)+N(AD104),2))</f>
        <v/>
      </c>
      <c r="AH104" s="9">
        <f>IF($A104="","",IF(OR($H104="Por confirmar",$H104="Cerrado"),"No","Sí"))</f>
        <v/>
      </c>
      <c r="AI104" s="21">
        <f>IF($A104="","",IF(AH104="No",0,IF(RESUMEN!$B$4="Saldo por pagar al fabricante",AA104,IF(RESUMEN!$B$4="Monto completo del pedido",P104,IF(OR($H104="Embarcando",$H104="Embarcado"),N(AA104),N(P104))))))</f>
        <v/>
      </c>
      <c r="AJ104" s="9">
        <f>IF($A104="","",IF(COUNTIF($A$4:$A$200,$A104)&gt;1,"ID_Pedido repetido",IF(N($P104)&lt;=0,"Falta el costo del fabricante",IF($F104="","Falta el proyecto",IF($G104="","Falta el cliente",IF(AND($H104&lt;&gt;"Por confirmar",N($R104)&gt;0,$T104=""),"Falta el estado del anticipo",IF(AND($H104&lt;&gt;"Por confirmar",N($V104)&gt;0,$X104=""),"Falta el estado del balance",IF($E104&gt;1,""&amp;$E104&amp;" equipos en una fila: pártela en una por proyecto",IF(AND($X104="Pendiente",N($V104)&gt;0,$W104=""),"Falta la fecha en que vence el balance",IF(AND($H104&lt;&gt;"Por confirmar",$H104&lt;&gt;"Cerrado",$AI104=0),"Consume 0 de cupo pero no está Por confirmar",""))))))))))</f>
        <v/>
      </c>
      <c r="AK104" s="4" t="n"/>
    </row>
    <row r="105">
      <c r="A105" s="4" t="n"/>
      <c r="B105" s="4" t="n"/>
      <c r="C105" s="4" t="n"/>
      <c r="D105" s="4" t="n"/>
      <c r="E105" s="4" t="n"/>
      <c r="F105" s="4" t="n"/>
      <c r="G105" s="4" t="n"/>
      <c r="H105" s="4" t="n"/>
      <c r="I105" s="5" t="n"/>
      <c r="J105" s="5" t="n"/>
      <c r="K105" s="5" t="n"/>
      <c r="L105" s="5" t="n"/>
      <c r="M105" s="5" t="n"/>
      <c r="N105" s="4" t="n"/>
      <c r="O105" s="4" t="n"/>
      <c r="P105" s="20" t="n"/>
      <c r="Q105" s="30" t="n"/>
      <c r="R105" s="21">
        <f>IF($A105="","",ROUND(P105*Q105,2))</f>
        <v/>
      </c>
      <c r="S105" s="5" t="n"/>
      <c r="T105" s="4" t="n"/>
      <c r="U105" s="5" t="n"/>
      <c r="V105" s="21">
        <f>IF($A105="","",ROUND(P105-R105,2))</f>
        <v/>
      </c>
      <c r="W105" s="5" t="n"/>
      <c r="X105" s="4" t="n"/>
      <c r="Y105" s="5" t="n"/>
      <c r="Z105" s="21">
        <f>IF($A105="","",IF(T105="Pagado",N(R105),0)+IF(X105="Pagado",N(V105),0))</f>
        <v/>
      </c>
      <c r="AA105" s="21">
        <f>IF($A105="","",ROUND(N(P105)-N(Z105),2))</f>
        <v/>
      </c>
      <c r="AB105" s="21">
        <f>IF($A105="","",SUMIF('OTROS COMPONENTES'!$A$4:$A$200,$A105,'OTROS COMPONENTES'!$D$4:$D$200))</f>
        <v/>
      </c>
      <c r="AC105" s="21">
        <f>IF($A105="","",SUMIF('OTROS COMPONENTES'!$A$4:$A$200,$A105,'OTROS COMPONENTES'!$E$4:$E$200))</f>
        <v/>
      </c>
      <c r="AD105" s="21">
        <f>IF($A105="","",ROUND(N(AB105)-N(AC105),2))</f>
        <v/>
      </c>
      <c r="AE105" s="21">
        <f>IF($A105="","",ROUND(N(P105)+N(AB105),2))</f>
        <v/>
      </c>
      <c r="AF105" s="21">
        <f>IF($A105="","",ROUND(N(Z105)+N(AC105),2))</f>
        <v/>
      </c>
      <c r="AG105" s="21">
        <f>IF($A105="","",ROUND(N(AA105)+N(AD105),2))</f>
        <v/>
      </c>
      <c r="AH105" s="9">
        <f>IF($A105="","",IF(OR($H105="Por confirmar",$H105="Cerrado"),"No","Sí"))</f>
        <v/>
      </c>
      <c r="AI105" s="21">
        <f>IF($A105="","",IF(AH105="No",0,IF(RESUMEN!$B$4="Saldo por pagar al fabricante",AA105,IF(RESUMEN!$B$4="Monto completo del pedido",P105,IF(OR($H105="Embarcando",$H105="Embarcado"),N(AA105),N(P105))))))</f>
        <v/>
      </c>
      <c r="AJ105" s="9">
        <f>IF($A105="","",IF(COUNTIF($A$4:$A$200,$A105)&gt;1,"ID_Pedido repetido",IF(N($P105)&lt;=0,"Falta el costo del fabricante",IF($F105="","Falta el proyecto",IF($G105="","Falta el cliente",IF(AND($H105&lt;&gt;"Por confirmar",N($R105)&gt;0,$T105=""),"Falta el estado del anticipo",IF(AND($H105&lt;&gt;"Por confirmar",N($V105)&gt;0,$X105=""),"Falta el estado del balance",IF($E105&gt;1,""&amp;$E105&amp;" equipos en una fila: pártela en una por proyecto",IF(AND($X105="Pendiente",N($V105)&gt;0,$W105=""),"Falta la fecha en que vence el balance",IF(AND($H105&lt;&gt;"Por confirmar",$H105&lt;&gt;"Cerrado",$AI105=0),"Consume 0 de cupo pero no está Por confirmar",""))))))))))</f>
        <v/>
      </c>
      <c r="AK105" s="4" t="n"/>
    </row>
    <row r="106">
      <c r="A106" s="4" t="n"/>
      <c r="B106" s="4" t="n"/>
      <c r="C106" s="4" t="n"/>
      <c r="D106" s="4" t="n"/>
      <c r="E106" s="4" t="n"/>
      <c r="F106" s="4" t="n"/>
      <c r="G106" s="4" t="n"/>
      <c r="H106" s="4" t="n"/>
      <c r="I106" s="5" t="n"/>
      <c r="J106" s="5" t="n"/>
      <c r="K106" s="5" t="n"/>
      <c r="L106" s="5" t="n"/>
      <c r="M106" s="5" t="n"/>
      <c r="N106" s="4" t="n"/>
      <c r="O106" s="4" t="n"/>
      <c r="P106" s="20" t="n"/>
      <c r="Q106" s="30" t="n"/>
      <c r="R106" s="21">
        <f>IF($A106="","",ROUND(P106*Q106,2))</f>
        <v/>
      </c>
      <c r="S106" s="5" t="n"/>
      <c r="T106" s="4" t="n"/>
      <c r="U106" s="5" t="n"/>
      <c r="V106" s="21">
        <f>IF($A106="","",ROUND(P106-R106,2))</f>
        <v/>
      </c>
      <c r="W106" s="5" t="n"/>
      <c r="X106" s="4" t="n"/>
      <c r="Y106" s="5" t="n"/>
      <c r="Z106" s="21">
        <f>IF($A106="","",IF(T106="Pagado",N(R106),0)+IF(X106="Pagado",N(V106),0))</f>
        <v/>
      </c>
      <c r="AA106" s="21">
        <f>IF($A106="","",ROUND(N(P106)-N(Z106),2))</f>
        <v/>
      </c>
      <c r="AB106" s="21">
        <f>IF($A106="","",SUMIF('OTROS COMPONENTES'!$A$4:$A$200,$A106,'OTROS COMPONENTES'!$D$4:$D$200))</f>
        <v/>
      </c>
      <c r="AC106" s="21">
        <f>IF($A106="","",SUMIF('OTROS COMPONENTES'!$A$4:$A$200,$A106,'OTROS COMPONENTES'!$E$4:$E$200))</f>
        <v/>
      </c>
      <c r="AD106" s="21">
        <f>IF($A106="","",ROUND(N(AB106)-N(AC106),2))</f>
        <v/>
      </c>
      <c r="AE106" s="21">
        <f>IF($A106="","",ROUND(N(P106)+N(AB106),2))</f>
        <v/>
      </c>
      <c r="AF106" s="21">
        <f>IF($A106="","",ROUND(N(Z106)+N(AC106),2))</f>
        <v/>
      </c>
      <c r="AG106" s="21">
        <f>IF($A106="","",ROUND(N(AA106)+N(AD106),2))</f>
        <v/>
      </c>
      <c r="AH106" s="9">
        <f>IF($A106="","",IF(OR($H106="Por confirmar",$H106="Cerrado"),"No","Sí"))</f>
        <v/>
      </c>
      <c r="AI106" s="21">
        <f>IF($A106="","",IF(AH106="No",0,IF(RESUMEN!$B$4="Saldo por pagar al fabricante",AA106,IF(RESUMEN!$B$4="Monto completo del pedido",P106,IF(OR($H106="Embarcando",$H106="Embarcado"),N(AA106),N(P106))))))</f>
        <v/>
      </c>
      <c r="AJ106" s="9">
        <f>IF($A106="","",IF(COUNTIF($A$4:$A$200,$A106)&gt;1,"ID_Pedido repetido",IF(N($P106)&lt;=0,"Falta el costo del fabricante",IF($F106="","Falta el proyecto",IF($G106="","Falta el cliente",IF(AND($H106&lt;&gt;"Por confirmar",N($R106)&gt;0,$T106=""),"Falta el estado del anticipo",IF(AND($H106&lt;&gt;"Por confirmar",N($V106)&gt;0,$X106=""),"Falta el estado del balance",IF($E106&gt;1,""&amp;$E106&amp;" equipos en una fila: pártela en una por proyecto",IF(AND($X106="Pendiente",N($V106)&gt;0,$W106=""),"Falta la fecha en que vence el balance",IF(AND($H106&lt;&gt;"Por confirmar",$H106&lt;&gt;"Cerrado",$AI106=0),"Consume 0 de cupo pero no está Por confirmar",""))))))))))</f>
        <v/>
      </c>
      <c r="AK106" s="4" t="n"/>
    </row>
    <row r="107">
      <c r="A107" s="4" t="n"/>
      <c r="B107" s="4" t="n"/>
      <c r="C107" s="4" t="n"/>
      <c r="D107" s="4" t="n"/>
      <c r="E107" s="4" t="n"/>
      <c r="F107" s="4" t="n"/>
      <c r="G107" s="4" t="n"/>
      <c r="H107" s="4" t="n"/>
      <c r="I107" s="5" t="n"/>
      <c r="J107" s="5" t="n"/>
      <c r="K107" s="5" t="n"/>
      <c r="L107" s="5" t="n"/>
      <c r="M107" s="5" t="n"/>
      <c r="N107" s="4" t="n"/>
      <c r="O107" s="4" t="n"/>
      <c r="P107" s="20" t="n"/>
      <c r="Q107" s="30" t="n"/>
      <c r="R107" s="21">
        <f>IF($A107="","",ROUND(P107*Q107,2))</f>
        <v/>
      </c>
      <c r="S107" s="5" t="n"/>
      <c r="T107" s="4" t="n"/>
      <c r="U107" s="5" t="n"/>
      <c r="V107" s="21">
        <f>IF($A107="","",ROUND(P107-R107,2))</f>
        <v/>
      </c>
      <c r="W107" s="5" t="n"/>
      <c r="X107" s="4" t="n"/>
      <c r="Y107" s="5" t="n"/>
      <c r="Z107" s="21">
        <f>IF($A107="","",IF(T107="Pagado",N(R107),0)+IF(X107="Pagado",N(V107),0))</f>
        <v/>
      </c>
      <c r="AA107" s="21">
        <f>IF($A107="","",ROUND(N(P107)-N(Z107),2))</f>
        <v/>
      </c>
      <c r="AB107" s="21">
        <f>IF($A107="","",SUMIF('OTROS COMPONENTES'!$A$4:$A$200,$A107,'OTROS COMPONENTES'!$D$4:$D$200))</f>
        <v/>
      </c>
      <c r="AC107" s="21">
        <f>IF($A107="","",SUMIF('OTROS COMPONENTES'!$A$4:$A$200,$A107,'OTROS COMPONENTES'!$E$4:$E$200))</f>
        <v/>
      </c>
      <c r="AD107" s="21">
        <f>IF($A107="","",ROUND(N(AB107)-N(AC107),2))</f>
        <v/>
      </c>
      <c r="AE107" s="21">
        <f>IF($A107="","",ROUND(N(P107)+N(AB107),2))</f>
        <v/>
      </c>
      <c r="AF107" s="21">
        <f>IF($A107="","",ROUND(N(Z107)+N(AC107),2))</f>
        <v/>
      </c>
      <c r="AG107" s="21">
        <f>IF($A107="","",ROUND(N(AA107)+N(AD107),2))</f>
        <v/>
      </c>
      <c r="AH107" s="9">
        <f>IF($A107="","",IF(OR($H107="Por confirmar",$H107="Cerrado"),"No","Sí"))</f>
        <v/>
      </c>
      <c r="AI107" s="21">
        <f>IF($A107="","",IF(AH107="No",0,IF(RESUMEN!$B$4="Saldo por pagar al fabricante",AA107,IF(RESUMEN!$B$4="Monto completo del pedido",P107,IF(OR($H107="Embarcando",$H107="Embarcado"),N(AA107),N(P107))))))</f>
        <v/>
      </c>
      <c r="AJ107" s="9">
        <f>IF($A107="","",IF(COUNTIF($A$4:$A$200,$A107)&gt;1,"ID_Pedido repetido",IF(N($P107)&lt;=0,"Falta el costo del fabricante",IF($F107="","Falta el proyecto",IF($G107="","Falta el cliente",IF(AND($H107&lt;&gt;"Por confirmar",N($R107)&gt;0,$T107=""),"Falta el estado del anticipo",IF(AND($H107&lt;&gt;"Por confirmar",N($V107)&gt;0,$X107=""),"Falta el estado del balance",IF($E107&gt;1,""&amp;$E107&amp;" equipos en una fila: pártela en una por proyecto",IF(AND($X107="Pendiente",N($V107)&gt;0,$W107=""),"Falta la fecha en que vence el balance",IF(AND($H107&lt;&gt;"Por confirmar",$H107&lt;&gt;"Cerrado",$AI107=0),"Consume 0 de cupo pero no está Por confirmar",""))))))))))</f>
        <v/>
      </c>
      <c r="AK107" s="4" t="n"/>
    </row>
    <row r="108">
      <c r="A108" s="4" t="n"/>
      <c r="B108" s="4" t="n"/>
      <c r="C108" s="4" t="n"/>
      <c r="D108" s="4" t="n"/>
      <c r="E108" s="4" t="n"/>
      <c r="F108" s="4" t="n"/>
      <c r="G108" s="4" t="n"/>
      <c r="H108" s="4" t="n"/>
      <c r="I108" s="5" t="n"/>
      <c r="J108" s="5" t="n"/>
      <c r="K108" s="5" t="n"/>
      <c r="L108" s="5" t="n"/>
      <c r="M108" s="5" t="n"/>
      <c r="N108" s="4" t="n"/>
      <c r="O108" s="4" t="n"/>
      <c r="P108" s="20" t="n"/>
      <c r="Q108" s="30" t="n"/>
      <c r="R108" s="21">
        <f>IF($A108="","",ROUND(P108*Q108,2))</f>
        <v/>
      </c>
      <c r="S108" s="5" t="n"/>
      <c r="T108" s="4" t="n"/>
      <c r="U108" s="5" t="n"/>
      <c r="V108" s="21">
        <f>IF($A108="","",ROUND(P108-R108,2))</f>
        <v/>
      </c>
      <c r="W108" s="5" t="n"/>
      <c r="X108" s="4" t="n"/>
      <c r="Y108" s="5" t="n"/>
      <c r="Z108" s="21">
        <f>IF($A108="","",IF(T108="Pagado",N(R108),0)+IF(X108="Pagado",N(V108),0))</f>
        <v/>
      </c>
      <c r="AA108" s="21">
        <f>IF($A108="","",ROUND(N(P108)-N(Z108),2))</f>
        <v/>
      </c>
      <c r="AB108" s="21">
        <f>IF($A108="","",SUMIF('OTROS COMPONENTES'!$A$4:$A$200,$A108,'OTROS COMPONENTES'!$D$4:$D$200))</f>
        <v/>
      </c>
      <c r="AC108" s="21">
        <f>IF($A108="","",SUMIF('OTROS COMPONENTES'!$A$4:$A$200,$A108,'OTROS COMPONENTES'!$E$4:$E$200))</f>
        <v/>
      </c>
      <c r="AD108" s="21">
        <f>IF($A108="","",ROUND(N(AB108)-N(AC108),2))</f>
        <v/>
      </c>
      <c r="AE108" s="21">
        <f>IF($A108="","",ROUND(N(P108)+N(AB108),2))</f>
        <v/>
      </c>
      <c r="AF108" s="21">
        <f>IF($A108="","",ROUND(N(Z108)+N(AC108),2))</f>
        <v/>
      </c>
      <c r="AG108" s="21">
        <f>IF($A108="","",ROUND(N(AA108)+N(AD108),2))</f>
        <v/>
      </c>
      <c r="AH108" s="9">
        <f>IF($A108="","",IF(OR($H108="Por confirmar",$H108="Cerrado"),"No","Sí"))</f>
        <v/>
      </c>
      <c r="AI108" s="21">
        <f>IF($A108="","",IF(AH108="No",0,IF(RESUMEN!$B$4="Saldo por pagar al fabricante",AA108,IF(RESUMEN!$B$4="Monto completo del pedido",P108,IF(OR($H108="Embarcando",$H108="Embarcado"),N(AA108),N(P108))))))</f>
        <v/>
      </c>
      <c r="AJ108" s="9">
        <f>IF($A108="","",IF(COUNTIF($A$4:$A$200,$A108)&gt;1,"ID_Pedido repetido",IF(N($P108)&lt;=0,"Falta el costo del fabricante",IF($F108="","Falta el proyecto",IF($G108="","Falta el cliente",IF(AND($H108&lt;&gt;"Por confirmar",N($R108)&gt;0,$T108=""),"Falta el estado del anticipo",IF(AND($H108&lt;&gt;"Por confirmar",N($V108)&gt;0,$X108=""),"Falta el estado del balance",IF($E108&gt;1,""&amp;$E108&amp;" equipos en una fila: pártela en una por proyecto",IF(AND($X108="Pendiente",N($V108)&gt;0,$W108=""),"Falta la fecha en que vence el balance",IF(AND($H108&lt;&gt;"Por confirmar",$H108&lt;&gt;"Cerrado",$AI108=0),"Consume 0 de cupo pero no está Por confirmar",""))))))))))</f>
        <v/>
      </c>
      <c r="AK108" s="4" t="n"/>
    </row>
    <row r="109">
      <c r="A109" s="4" t="n"/>
      <c r="B109" s="4" t="n"/>
      <c r="C109" s="4" t="n"/>
      <c r="D109" s="4" t="n"/>
      <c r="E109" s="4" t="n"/>
      <c r="F109" s="4" t="n"/>
      <c r="G109" s="4" t="n"/>
      <c r="H109" s="4" t="n"/>
      <c r="I109" s="5" t="n"/>
      <c r="J109" s="5" t="n"/>
      <c r="K109" s="5" t="n"/>
      <c r="L109" s="5" t="n"/>
      <c r="M109" s="5" t="n"/>
      <c r="N109" s="4" t="n"/>
      <c r="O109" s="4" t="n"/>
      <c r="P109" s="20" t="n"/>
      <c r="Q109" s="30" t="n"/>
      <c r="R109" s="21">
        <f>IF($A109="","",ROUND(P109*Q109,2))</f>
        <v/>
      </c>
      <c r="S109" s="5" t="n"/>
      <c r="T109" s="4" t="n"/>
      <c r="U109" s="5" t="n"/>
      <c r="V109" s="21">
        <f>IF($A109="","",ROUND(P109-R109,2))</f>
        <v/>
      </c>
      <c r="W109" s="5" t="n"/>
      <c r="X109" s="4" t="n"/>
      <c r="Y109" s="5" t="n"/>
      <c r="Z109" s="21">
        <f>IF($A109="","",IF(T109="Pagado",N(R109),0)+IF(X109="Pagado",N(V109),0))</f>
        <v/>
      </c>
      <c r="AA109" s="21">
        <f>IF($A109="","",ROUND(N(P109)-N(Z109),2))</f>
        <v/>
      </c>
      <c r="AB109" s="21">
        <f>IF($A109="","",SUMIF('OTROS COMPONENTES'!$A$4:$A$200,$A109,'OTROS COMPONENTES'!$D$4:$D$200))</f>
        <v/>
      </c>
      <c r="AC109" s="21">
        <f>IF($A109="","",SUMIF('OTROS COMPONENTES'!$A$4:$A$200,$A109,'OTROS COMPONENTES'!$E$4:$E$200))</f>
        <v/>
      </c>
      <c r="AD109" s="21">
        <f>IF($A109="","",ROUND(N(AB109)-N(AC109),2))</f>
        <v/>
      </c>
      <c r="AE109" s="21">
        <f>IF($A109="","",ROUND(N(P109)+N(AB109),2))</f>
        <v/>
      </c>
      <c r="AF109" s="21">
        <f>IF($A109="","",ROUND(N(Z109)+N(AC109),2))</f>
        <v/>
      </c>
      <c r="AG109" s="21">
        <f>IF($A109="","",ROUND(N(AA109)+N(AD109),2))</f>
        <v/>
      </c>
      <c r="AH109" s="9">
        <f>IF($A109="","",IF(OR($H109="Por confirmar",$H109="Cerrado"),"No","Sí"))</f>
        <v/>
      </c>
      <c r="AI109" s="21">
        <f>IF($A109="","",IF(AH109="No",0,IF(RESUMEN!$B$4="Saldo por pagar al fabricante",AA109,IF(RESUMEN!$B$4="Monto completo del pedido",P109,IF(OR($H109="Embarcando",$H109="Embarcado"),N(AA109),N(P109))))))</f>
        <v/>
      </c>
      <c r="AJ109" s="9">
        <f>IF($A109="","",IF(COUNTIF($A$4:$A$200,$A109)&gt;1,"ID_Pedido repetido",IF(N($P109)&lt;=0,"Falta el costo del fabricante",IF($F109="","Falta el proyecto",IF($G109="","Falta el cliente",IF(AND($H109&lt;&gt;"Por confirmar",N($R109)&gt;0,$T109=""),"Falta el estado del anticipo",IF(AND($H109&lt;&gt;"Por confirmar",N($V109)&gt;0,$X109=""),"Falta el estado del balance",IF($E109&gt;1,""&amp;$E109&amp;" equipos en una fila: pártela en una por proyecto",IF(AND($X109="Pendiente",N($V109)&gt;0,$W109=""),"Falta la fecha en que vence el balance",IF(AND($H109&lt;&gt;"Por confirmar",$H109&lt;&gt;"Cerrado",$AI109=0),"Consume 0 de cupo pero no está Por confirmar",""))))))))))</f>
        <v/>
      </c>
      <c r="AK109" s="4" t="n"/>
    </row>
    <row r="110">
      <c r="A110" s="4" t="n"/>
      <c r="B110" s="4" t="n"/>
      <c r="C110" s="4" t="n"/>
      <c r="D110" s="4" t="n"/>
      <c r="E110" s="4" t="n"/>
      <c r="F110" s="4" t="n"/>
      <c r="G110" s="4" t="n"/>
      <c r="H110" s="4" t="n"/>
      <c r="I110" s="5" t="n"/>
      <c r="J110" s="5" t="n"/>
      <c r="K110" s="5" t="n"/>
      <c r="L110" s="5" t="n"/>
      <c r="M110" s="5" t="n"/>
      <c r="N110" s="4" t="n"/>
      <c r="O110" s="4" t="n"/>
      <c r="P110" s="20" t="n"/>
      <c r="Q110" s="30" t="n"/>
      <c r="R110" s="21">
        <f>IF($A110="","",ROUND(P110*Q110,2))</f>
        <v/>
      </c>
      <c r="S110" s="5" t="n"/>
      <c r="T110" s="4" t="n"/>
      <c r="U110" s="5" t="n"/>
      <c r="V110" s="21">
        <f>IF($A110="","",ROUND(P110-R110,2))</f>
        <v/>
      </c>
      <c r="W110" s="5" t="n"/>
      <c r="X110" s="4" t="n"/>
      <c r="Y110" s="5" t="n"/>
      <c r="Z110" s="21">
        <f>IF($A110="","",IF(T110="Pagado",N(R110),0)+IF(X110="Pagado",N(V110),0))</f>
        <v/>
      </c>
      <c r="AA110" s="21">
        <f>IF($A110="","",ROUND(N(P110)-N(Z110),2))</f>
        <v/>
      </c>
      <c r="AB110" s="21">
        <f>IF($A110="","",SUMIF('OTROS COMPONENTES'!$A$4:$A$200,$A110,'OTROS COMPONENTES'!$D$4:$D$200))</f>
        <v/>
      </c>
      <c r="AC110" s="21">
        <f>IF($A110="","",SUMIF('OTROS COMPONENTES'!$A$4:$A$200,$A110,'OTROS COMPONENTES'!$E$4:$E$200))</f>
        <v/>
      </c>
      <c r="AD110" s="21">
        <f>IF($A110="","",ROUND(N(AB110)-N(AC110),2))</f>
        <v/>
      </c>
      <c r="AE110" s="21">
        <f>IF($A110="","",ROUND(N(P110)+N(AB110),2))</f>
        <v/>
      </c>
      <c r="AF110" s="21">
        <f>IF($A110="","",ROUND(N(Z110)+N(AC110),2))</f>
        <v/>
      </c>
      <c r="AG110" s="21">
        <f>IF($A110="","",ROUND(N(AA110)+N(AD110),2))</f>
        <v/>
      </c>
      <c r="AH110" s="9">
        <f>IF($A110="","",IF(OR($H110="Por confirmar",$H110="Cerrado"),"No","Sí"))</f>
        <v/>
      </c>
      <c r="AI110" s="21">
        <f>IF($A110="","",IF(AH110="No",0,IF(RESUMEN!$B$4="Saldo por pagar al fabricante",AA110,IF(RESUMEN!$B$4="Monto completo del pedido",P110,IF(OR($H110="Embarcando",$H110="Embarcado"),N(AA110),N(P110))))))</f>
        <v/>
      </c>
      <c r="AJ110" s="9">
        <f>IF($A110="","",IF(COUNTIF($A$4:$A$200,$A110)&gt;1,"ID_Pedido repetido",IF(N($P110)&lt;=0,"Falta el costo del fabricante",IF($F110="","Falta el proyecto",IF($G110="","Falta el cliente",IF(AND($H110&lt;&gt;"Por confirmar",N($R110)&gt;0,$T110=""),"Falta el estado del anticipo",IF(AND($H110&lt;&gt;"Por confirmar",N($V110)&gt;0,$X110=""),"Falta el estado del balance",IF($E110&gt;1,""&amp;$E110&amp;" equipos en una fila: pártela en una por proyecto",IF(AND($X110="Pendiente",N($V110)&gt;0,$W110=""),"Falta la fecha en que vence el balance",IF(AND($H110&lt;&gt;"Por confirmar",$H110&lt;&gt;"Cerrado",$AI110=0),"Consume 0 de cupo pero no está Por confirmar",""))))))))))</f>
        <v/>
      </c>
      <c r="AK110" s="4" t="n"/>
    </row>
    <row r="111">
      <c r="A111" s="4" t="n"/>
      <c r="B111" s="4" t="n"/>
      <c r="C111" s="4" t="n"/>
      <c r="D111" s="4" t="n"/>
      <c r="E111" s="4" t="n"/>
      <c r="F111" s="4" t="n"/>
      <c r="G111" s="4" t="n"/>
      <c r="H111" s="4" t="n"/>
      <c r="I111" s="5" t="n"/>
      <c r="J111" s="5" t="n"/>
      <c r="K111" s="5" t="n"/>
      <c r="L111" s="5" t="n"/>
      <c r="M111" s="5" t="n"/>
      <c r="N111" s="4" t="n"/>
      <c r="O111" s="4" t="n"/>
      <c r="P111" s="20" t="n"/>
      <c r="Q111" s="30" t="n"/>
      <c r="R111" s="21">
        <f>IF($A111="","",ROUND(P111*Q111,2))</f>
        <v/>
      </c>
      <c r="S111" s="5" t="n"/>
      <c r="T111" s="4" t="n"/>
      <c r="U111" s="5" t="n"/>
      <c r="V111" s="21">
        <f>IF($A111="","",ROUND(P111-R111,2))</f>
        <v/>
      </c>
      <c r="W111" s="5" t="n"/>
      <c r="X111" s="4" t="n"/>
      <c r="Y111" s="5" t="n"/>
      <c r="Z111" s="21">
        <f>IF($A111="","",IF(T111="Pagado",N(R111),0)+IF(X111="Pagado",N(V111),0))</f>
        <v/>
      </c>
      <c r="AA111" s="21">
        <f>IF($A111="","",ROUND(N(P111)-N(Z111),2))</f>
        <v/>
      </c>
      <c r="AB111" s="21">
        <f>IF($A111="","",SUMIF('OTROS COMPONENTES'!$A$4:$A$200,$A111,'OTROS COMPONENTES'!$D$4:$D$200))</f>
        <v/>
      </c>
      <c r="AC111" s="21">
        <f>IF($A111="","",SUMIF('OTROS COMPONENTES'!$A$4:$A$200,$A111,'OTROS COMPONENTES'!$E$4:$E$200))</f>
        <v/>
      </c>
      <c r="AD111" s="21">
        <f>IF($A111="","",ROUND(N(AB111)-N(AC111),2))</f>
        <v/>
      </c>
      <c r="AE111" s="21">
        <f>IF($A111="","",ROUND(N(P111)+N(AB111),2))</f>
        <v/>
      </c>
      <c r="AF111" s="21">
        <f>IF($A111="","",ROUND(N(Z111)+N(AC111),2))</f>
        <v/>
      </c>
      <c r="AG111" s="21">
        <f>IF($A111="","",ROUND(N(AA111)+N(AD111),2))</f>
        <v/>
      </c>
      <c r="AH111" s="9">
        <f>IF($A111="","",IF(OR($H111="Por confirmar",$H111="Cerrado"),"No","Sí"))</f>
        <v/>
      </c>
      <c r="AI111" s="21">
        <f>IF($A111="","",IF(AH111="No",0,IF(RESUMEN!$B$4="Saldo por pagar al fabricante",AA111,IF(RESUMEN!$B$4="Monto completo del pedido",P111,IF(OR($H111="Embarcando",$H111="Embarcado"),N(AA111),N(P111))))))</f>
        <v/>
      </c>
      <c r="AJ111" s="9">
        <f>IF($A111="","",IF(COUNTIF($A$4:$A$200,$A111)&gt;1,"ID_Pedido repetido",IF(N($P111)&lt;=0,"Falta el costo del fabricante",IF($F111="","Falta el proyecto",IF($G111="","Falta el cliente",IF(AND($H111&lt;&gt;"Por confirmar",N($R111)&gt;0,$T111=""),"Falta el estado del anticipo",IF(AND($H111&lt;&gt;"Por confirmar",N($V111)&gt;0,$X111=""),"Falta el estado del balance",IF($E111&gt;1,""&amp;$E111&amp;" equipos en una fila: pártela en una por proyecto",IF(AND($X111="Pendiente",N($V111)&gt;0,$W111=""),"Falta la fecha en que vence el balance",IF(AND($H111&lt;&gt;"Por confirmar",$H111&lt;&gt;"Cerrado",$AI111=0),"Consume 0 de cupo pero no está Por confirmar",""))))))))))</f>
        <v/>
      </c>
      <c r="AK111" s="4" t="n"/>
    </row>
    <row r="112">
      <c r="A112" s="4" t="n"/>
      <c r="B112" s="4" t="n"/>
      <c r="C112" s="4" t="n"/>
      <c r="D112" s="4" t="n"/>
      <c r="E112" s="4" t="n"/>
      <c r="F112" s="4" t="n"/>
      <c r="G112" s="4" t="n"/>
      <c r="H112" s="4" t="n"/>
      <c r="I112" s="5" t="n"/>
      <c r="J112" s="5" t="n"/>
      <c r="K112" s="5" t="n"/>
      <c r="L112" s="5" t="n"/>
      <c r="M112" s="5" t="n"/>
      <c r="N112" s="4" t="n"/>
      <c r="O112" s="4" t="n"/>
      <c r="P112" s="20" t="n"/>
      <c r="Q112" s="30" t="n"/>
      <c r="R112" s="21">
        <f>IF($A112="","",ROUND(P112*Q112,2))</f>
        <v/>
      </c>
      <c r="S112" s="5" t="n"/>
      <c r="T112" s="4" t="n"/>
      <c r="U112" s="5" t="n"/>
      <c r="V112" s="21">
        <f>IF($A112="","",ROUND(P112-R112,2))</f>
        <v/>
      </c>
      <c r="W112" s="5" t="n"/>
      <c r="X112" s="4" t="n"/>
      <c r="Y112" s="5" t="n"/>
      <c r="Z112" s="21">
        <f>IF($A112="","",IF(T112="Pagado",N(R112),0)+IF(X112="Pagado",N(V112),0))</f>
        <v/>
      </c>
      <c r="AA112" s="21">
        <f>IF($A112="","",ROUND(N(P112)-N(Z112),2))</f>
        <v/>
      </c>
      <c r="AB112" s="21">
        <f>IF($A112="","",SUMIF('OTROS COMPONENTES'!$A$4:$A$200,$A112,'OTROS COMPONENTES'!$D$4:$D$200))</f>
        <v/>
      </c>
      <c r="AC112" s="21">
        <f>IF($A112="","",SUMIF('OTROS COMPONENTES'!$A$4:$A$200,$A112,'OTROS COMPONENTES'!$E$4:$E$200))</f>
        <v/>
      </c>
      <c r="AD112" s="21">
        <f>IF($A112="","",ROUND(N(AB112)-N(AC112),2))</f>
        <v/>
      </c>
      <c r="AE112" s="21">
        <f>IF($A112="","",ROUND(N(P112)+N(AB112),2))</f>
        <v/>
      </c>
      <c r="AF112" s="21">
        <f>IF($A112="","",ROUND(N(Z112)+N(AC112),2))</f>
        <v/>
      </c>
      <c r="AG112" s="21">
        <f>IF($A112="","",ROUND(N(AA112)+N(AD112),2))</f>
        <v/>
      </c>
      <c r="AH112" s="9">
        <f>IF($A112="","",IF(OR($H112="Por confirmar",$H112="Cerrado"),"No","Sí"))</f>
        <v/>
      </c>
      <c r="AI112" s="21">
        <f>IF($A112="","",IF(AH112="No",0,IF(RESUMEN!$B$4="Saldo por pagar al fabricante",AA112,IF(RESUMEN!$B$4="Monto completo del pedido",P112,IF(OR($H112="Embarcando",$H112="Embarcado"),N(AA112),N(P112))))))</f>
        <v/>
      </c>
      <c r="AJ112" s="9">
        <f>IF($A112="","",IF(COUNTIF($A$4:$A$200,$A112)&gt;1,"ID_Pedido repetido",IF(N($P112)&lt;=0,"Falta el costo del fabricante",IF($F112="","Falta el proyecto",IF($G112="","Falta el cliente",IF(AND($H112&lt;&gt;"Por confirmar",N($R112)&gt;0,$T112=""),"Falta el estado del anticipo",IF(AND($H112&lt;&gt;"Por confirmar",N($V112)&gt;0,$X112=""),"Falta el estado del balance",IF($E112&gt;1,""&amp;$E112&amp;" equipos en una fila: pártela en una por proyecto",IF(AND($X112="Pendiente",N($V112)&gt;0,$W112=""),"Falta la fecha en que vence el balance",IF(AND($H112&lt;&gt;"Por confirmar",$H112&lt;&gt;"Cerrado",$AI112=0),"Consume 0 de cupo pero no está Por confirmar",""))))))))))</f>
        <v/>
      </c>
      <c r="AK112" s="4" t="n"/>
    </row>
    <row r="113">
      <c r="A113" s="4" t="n"/>
      <c r="B113" s="4" t="n"/>
      <c r="C113" s="4" t="n"/>
      <c r="D113" s="4" t="n"/>
      <c r="E113" s="4" t="n"/>
      <c r="F113" s="4" t="n"/>
      <c r="G113" s="4" t="n"/>
      <c r="H113" s="4" t="n"/>
      <c r="I113" s="5" t="n"/>
      <c r="J113" s="5" t="n"/>
      <c r="K113" s="5" t="n"/>
      <c r="L113" s="5" t="n"/>
      <c r="M113" s="5" t="n"/>
      <c r="N113" s="4" t="n"/>
      <c r="O113" s="4" t="n"/>
      <c r="P113" s="20" t="n"/>
      <c r="Q113" s="30" t="n"/>
      <c r="R113" s="21">
        <f>IF($A113="","",ROUND(P113*Q113,2))</f>
        <v/>
      </c>
      <c r="S113" s="5" t="n"/>
      <c r="T113" s="4" t="n"/>
      <c r="U113" s="5" t="n"/>
      <c r="V113" s="21">
        <f>IF($A113="","",ROUND(P113-R113,2))</f>
        <v/>
      </c>
      <c r="W113" s="5" t="n"/>
      <c r="X113" s="4" t="n"/>
      <c r="Y113" s="5" t="n"/>
      <c r="Z113" s="21">
        <f>IF($A113="","",IF(T113="Pagado",N(R113),0)+IF(X113="Pagado",N(V113),0))</f>
        <v/>
      </c>
      <c r="AA113" s="21">
        <f>IF($A113="","",ROUND(N(P113)-N(Z113),2))</f>
        <v/>
      </c>
      <c r="AB113" s="21">
        <f>IF($A113="","",SUMIF('OTROS COMPONENTES'!$A$4:$A$200,$A113,'OTROS COMPONENTES'!$D$4:$D$200))</f>
        <v/>
      </c>
      <c r="AC113" s="21">
        <f>IF($A113="","",SUMIF('OTROS COMPONENTES'!$A$4:$A$200,$A113,'OTROS COMPONENTES'!$E$4:$E$200))</f>
        <v/>
      </c>
      <c r="AD113" s="21">
        <f>IF($A113="","",ROUND(N(AB113)-N(AC113),2))</f>
        <v/>
      </c>
      <c r="AE113" s="21">
        <f>IF($A113="","",ROUND(N(P113)+N(AB113),2))</f>
        <v/>
      </c>
      <c r="AF113" s="21">
        <f>IF($A113="","",ROUND(N(Z113)+N(AC113),2))</f>
        <v/>
      </c>
      <c r="AG113" s="21">
        <f>IF($A113="","",ROUND(N(AA113)+N(AD113),2))</f>
        <v/>
      </c>
      <c r="AH113" s="9">
        <f>IF($A113="","",IF(OR($H113="Por confirmar",$H113="Cerrado"),"No","Sí"))</f>
        <v/>
      </c>
      <c r="AI113" s="21">
        <f>IF($A113="","",IF(AH113="No",0,IF(RESUMEN!$B$4="Saldo por pagar al fabricante",AA113,IF(RESUMEN!$B$4="Monto completo del pedido",P113,IF(OR($H113="Embarcando",$H113="Embarcado"),N(AA113),N(P113))))))</f>
        <v/>
      </c>
      <c r="AJ113" s="9">
        <f>IF($A113="","",IF(COUNTIF($A$4:$A$200,$A113)&gt;1,"ID_Pedido repetido",IF(N($P113)&lt;=0,"Falta el costo del fabricante",IF($F113="","Falta el proyecto",IF($G113="","Falta el cliente",IF(AND($H113&lt;&gt;"Por confirmar",N($R113)&gt;0,$T113=""),"Falta el estado del anticipo",IF(AND($H113&lt;&gt;"Por confirmar",N($V113)&gt;0,$X113=""),"Falta el estado del balance",IF($E113&gt;1,""&amp;$E113&amp;" equipos en una fila: pártela en una por proyecto",IF(AND($X113="Pendiente",N($V113)&gt;0,$W113=""),"Falta la fecha en que vence el balance",IF(AND($H113&lt;&gt;"Por confirmar",$H113&lt;&gt;"Cerrado",$AI113=0),"Consume 0 de cupo pero no está Por confirmar",""))))))))))</f>
        <v/>
      </c>
      <c r="AK113" s="4" t="n"/>
    </row>
    <row r="114">
      <c r="A114" s="4" t="n"/>
      <c r="B114" s="4" t="n"/>
      <c r="C114" s="4" t="n"/>
      <c r="D114" s="4" t="n"/>
      <c r="E114" s="4" t="n"/>
      <c r="F114" s="4" t="n"/>
      <c r="G114" s="4" t="n"/>
      <c r="H114" s="4" t="n"/>
      <c r="I114" s="5" t="n"/>
      <c r="J114" s="5" t="n"/>
      <c r="K114" s="5" t="n"/>
      <c r="L114" s="5" t="n"/>
      <c r="M114" s="5" t="n"/>
      <c r="N114" s="4" t="n"/>
      <c r="O114" s="4" t="n"/>
      <c r="P114" s="20" t="n"/>
      <c r="Q114" s="30" t="n"/>
      <c r="R114" s="21">
        <f>IF($A114="","",ROUND(P114*Q114,2))</f>
        <v/>
      </c>
      <c r="S114" s="5" t="n"/>
      <c r="T114" s="4" t="n"/>
      <c r="U114" s="5" t="n"/>
      <c r="V114" s="21">
        <f>IF($A114="","",ROUND(P114-R114,2))</f>
        <v/>
      </c>
      <c r="W114" s="5" t="n"/>
      <c r="X114" s="4" t="n"/>
      <c r="Y114" s="5" t="n"/>
      <c r="Z114" s="21">
        <f>IF($A114="","",IF(T114="Pagado",N(R114),0)+IF(X114="Pagado",N(V114),0))</f>
        <v/>
      </c>
      <c r="AA114" s="21">
        <f>IF($A114="","",ROUND(N(P114)-N(Z114),2))</f>
        <v/>
      </c>
      <c r="AB114" s="21">
        <f>IF($A114="","",SUMIF('OTROS COMPONENTES'!$A$4:$A$200,$A114,'OTROS COMPONENTES'!$D$4:$D$200))</f>
        <v/>
      </c>
      <c r="AC114" s="21">
        <f>IF($A114="","",SUMIF('OTROS COMPONENTES'!$A$4:$A$200,$A114,'OTROS COMPONENTES'!$E$4:$E$200))</f>
        <v/>
      </c>
      <c r="AD114" s="21">
        <f>IF($A114="","",ROUND(N(AB114)-N(AC114),2))</f>
        <v/>
      </c>
      <c r="AE114" s="21">
        <f>IF($A114="","",ROUND(N(P114)+N(AB114),2))</f>
        <v/>
      </c>
      <c r="AF114" s="21">
        <f>IF($A114="","",ROUND(N(Z114)+N(AC114),2))</f>
        <v/>
      </c>
      <c r="AG114" s="21">
        <f>IF($A114="","",ROUND(N(AA114)+N(AD114),2))</f>
        <v/>
      </c>
      <c r="AH114" s="9">
        <f>IF($A114="","",IF(OR($H114="Por confirmar",$H114="Cerrado"),"No","Sí"))</f>
        <v/>
      </c>
      <c r="AI114" s="21">
        <f>IF($A114="","",IF(AH114="No",0,IF(RESUMEN!$B$4="Saldo por pagar al fabricante",AA114,IF(RESUMEN!$B$4="Monto completo del pedido",P114,IF(OR($H114="Embarcando",$H114="Embarcado"),N(AA114),N(P114))))))</f>
        <v/>
      </c>
      <c r="AJ114" s="9">
        <f>IF($A114="","",IF(COUNTIF($A$4:$A$200,$A114)&gt;1,"ID_Pedido repetido",IF(N($P114)&lt;=0,"Falta el costo del fabricante",IF($F114="","Falta el proyecto",IF($G114="","Falta el cliente",IF(AND($H114&lt;&gt;"Por confirmar",N($R114)&gt;0,$T114=""),"Falta el estado del anticipo",IF(AND($H114&lt;&gt;"Por confirmar",N($V114)&gt;0,$X114=""),"Falta el estado del balance",IF($E114&gt;1,""&amp;$E114&amp;" equipos en una fila: pártela en una por proyecto",IF(AND($X114="Pendiente",N($V114)&gt;0,$W114=""),"Falta la fecha en que vence el balance",IF(AND($H114&lt;&gt;"Por confirmar",$H114&lt;&gt;"Cerrado",$AI114=0),"Consume 0 de cupo pero no está Por confirmar",""))))))))))</f>
        <v/>
      </c>
      <c r="AK114" s="4" t="n"/>
    </row>
    <row r="115">
      <c r="A115" s="4" t="n"/>
      <c r="B115" s="4" t="n"/>
      <c r="C115" s="4" t="n"/>
      <c r="D115" s="4" t="n"/>
      <c r="E115" s="4" t="n"/>
      <c r="F115" s="4" t="n"/>
      <c r="G115" s="4" t="n"/>
      <c r="H115" s="4" t="n"/>
      <c r="I115" s="5" t="n"/>
      <c r="J115" s="5" t="n"/>
      <c r="K115" s="5" t="n"/>
      <c r="L115" s="5" t="n"/>
      <c r="M115" s="5" t="n"/>
      <c r="N115" s="4" t="n"/>
      <c r="O115" s="4" t="n"/>
      <c r="P115" s="20" t="n"/>
      <c r="Q115" s="30" t="n"/>
      <c r="R115" s="21">
        <f>IF($A115="","",ROUND(P115*Q115,2))</f>
        <v/>
      </c>
      <c r="S115" s="5" t="n"/>
      <c r="T115" s="4" t="n"/>
      <c r="U115" s="5" t="n"/>
      <c r="V115" s="21">
        <f>IF($A115="","",ROUND(P115-R115,2))</f>
        <v/>
      </c>
      <c r="W115" s="5" t="n"/>
      <c r="X115" s="4" t="n"/>
      <c r="Y115" s="5" t="n"/>
      <c r="Z115" s="21">
        <f>IF($A115="","",IF(T115="Pagado",N(R115),0)+IF(X115="Pagado",N(V115),0))</f>
        <v/>
      </c>
      <c r="AA115" s="21">
        <f>IF($A115="","",ROUND(N(P115)-N(Z115),2))</f>
        <v/>
      </c>
      <c r="AB115" s="21">
        <f>IF($A115="","",SUMIF('OTROS COMPONENTES'!$A$4:$A$200,$A115,'OTROS COMPONENTES'!$D$4:$D$200))</f>
        <v/>
      </c>
      <c r="AC115" s="21">
        <f>IF($A115="","",SUMIF('OTROS COMPONENTES'!$A$4:$A$200,$A115,'OTROS COMPONENTES'!$E$4:$E$200))</f>
        <v/>
      </c>
      <c r="AD115" s="21">
        <f>IF($A115="","",ROUND(N(AB115)-N(AC115),2))</f>
        <v/>
      </c>
      <c r="AE115" s="21">
        <f>IF($A115="","",ROUND(N(P115)+N(AB115),2))</f>
        <v/>
      </c>
      <c r="AF115" s="21">
        <f>IF($A115="","",ROUND(N(Z115)+N(AC115),2))</f>
        <v/>
      </c>
      <c r="AG115" s="21">
        <f>IF($A115="","",ROUND(N(AA115)+N(AD115),2))</f>
        <v/>
      </c>
      <c r="AH115" s="9">
        <f>IF($A115="","",IF(OR($H115="Por confirmar",$H115="Cerrado"),"No","Sí"))</f>
        <v/>
      </c>
      <c r="AI115" s="21">
        <f>IF($A115="","",IF(AH115="No",0,IF(RESUMEN!$B$4="Saldo por pagar al fabricante",AA115,IF(RESUMEN!$B$4="Monto completo del pedido",P115,IF(OR($H115="Embarcando",$H115="Embarcado"),N(AA115),N(P115))))))</f>
        <v/>
      </c>
      <c r="AJ115" s="9">
        <f>IF($A115="","",IF(COUNTIF($A$4:$A$200,$A115)&gt;1,"ID_Pedido repetido",IF(N($P115)&lt;=0,"Falta el costo del fabricante",IF($F115="","Falta el proyecto",IF($G115="","Falta el cliente",IF(AND($H115&lt;&gt;"Por confirmar",N($R115)&gt;0,$T115=""),"Falta el estado del anticipo",IF(AND($H115&lt;&gt;"Por confirmar",N($V115)&gt;0,$X115=""),"Falta el estado del balance",IF($E115&gt;1,""&amp;$E115&amp;" equipos en una fila: pártela en una por proyecto",IF(AND($X115="Pendiente",N($V115)&gt;0,$W115=""),"Falta la fecha en que vence el balance",IF(AND($H115&lt;&gt;"Por confirmar",$H115&lt;&gt;"Cerrado",$AI115=0),"Consume 0 de cupo pero no está Por confirmar",""))))))))))</f>
        <v/>
      </c>
      <c r="AK115" s="4" t="n"/>
    </row>
    <row r="116">
      <c r="A116" s="4" t="n"/>
      <c r="B116" s="4" t="n"/>
      <c r="C116" s="4" t="n"/>
      <c r="D116" s="4" t="n"/>
      <c r="E116" s="4" t="n"/>
      <c r="F116" s="4" t="n"/>
      <c r="G116" s="4" t="n"/>
      <c r="H116" s="4" t="n"/>
      <c r="I116" s="5" t="n"/>
      <c r="J116" s="5" t="n"/>
      <c r="K116" s="5" t="n"/>
      <c r="L116" s="5" t="n"/>
      <c r="M116" s="5" t="n"/>
      <c r="N116" s="4" t="n"/>
      <c r="O116" s="4" t="n"/>
      <c r="P116" s="20" t="n"/>
      <c r="Q116" s="30" t="n"/>
      <c r="R116" s="21">
        <f>IF($A116="","",ROUND(P116*Q116,2))</f>
        <v/>
      </c>
      <c r="S116" s="5" t="n"/>
      <c r="T116" s="4" t="n"/>
      <c r="U116" s="5" t="n"/>
      <c r="V116" s="21">
        <f>IF($A116="","",ROUND(P116-R116,2))</f>
        <v/>
      </c>
      <c r="W116" s="5" t="n"/>
      <c r="X116" s="4" t="n"/>
      <c r="Y116" s="5" t="n"/>
      <c r="Z116" s="21">
        <f>IF($A116="","",IF(T116="Pagado",N(R116),0)+IF(X116="Pagado",N(V116),0))</f>
        <v/>
      </c>
      <c r="AA116" s="21">
        <f>IF($A116="","",ROUND(N(P116)-N(Z116),2))</f>
        <v/>
      </c>
      <c r="AB116" s="21">
        <f>IF($A116="","",SUMIF('OTROS COMPONENTES'!$A$4:$A$200,$A116,'OTROS COMPONENTES'!$D$4:$D$200))</f>
        <v/>
      </c>
      <c r="AC116" s="21">
        <f>IF($A116="","",SUMIF('OTROS COMPONENTES'!$A$4:$A$200,$A116,'OTROS COMPONENTES'!$E$4:$E$200))</f>
        <v/>
      </c>
      <c r="AD116" s="21">
        <f>IF($A116="","",ROUND(N(AB116)-N(AC116),2))</f>
        <v/>
      </c>
      <c r="AE116" s="21">
        <f>IF($A116="","",ROUND(N(P116)+N(AB116),2))</f>
        <v/>
      </c>
      <c r="AF116" s="21">
        <f>IF($A116="","",ROUND(N(Z116)+N(AC116),2))</f>
        <v/>
      </c>
      <c r="AG116" s="21">
        <f>IF($A116="","",ROUND(N(AA116)+N(AD116),2))</f>
        <v/>
      </c>
      <c r="AH116" s="9">
        <f>IF($A116="","",IF(OR($H116="Por confirmar",$H116="Cerrado"),"No","Sí"))</f>
        <v/>
      </c>
      <c r="AI116" s="21">
        <f>IF($A116="","",IF(AH116="No",0,IF(RESUMEN!$B$4="Saldo por pagar al fabricante",AA116,IF(RESUMEN!$B$4="Monto completo del pedido",P116,IF(OR($H116="Embarcando",$H116="Embarcado"),N(AA116),N(P116))))))</f>
        <v/>
      </c>
      <c r="AJ116" s="9">
        <f>IF($A116="","",IF(COUNTIF($A$4:$A$200,$A116)&gt;1,"ID_Pedido repetido",IF(N($P116)&lt;=0,"Falta el costo del fabricante",IF($F116="","Falta el proyecto",IF($G116="","Falta el cliente",IF(AND($H116&lt;&gt;"Por confirmar",N($R116)&gt;0,$T116=""),"Falta el estado del anticipo",IF(AND($H116&lt;&gt;"Por confirmar",N($V116)&gt;0,$X116=""),"Falta el estado del balance",IF($E116&gt;1,""&amp;$E116&amp;" equipos en una fila: pártela en una por proyecto",IF(AND($X116="Pendiente",N($V116)&gt;0,$W116=""),"Falta la fecha en que vence el balance",IF(AND($H116&lt;&gt;"Por confirmar",$H116&lt;&gt;"Cerrado",$AI116=0),"Consume 0 de cupo pero no está Por confirmar",""))))))))))</f>
        <v/>
      </c>
      <c r="AK116" s="4" t="n"/>
    </row>
    <row r="117">
      <c r="A117" s="4" t="n"/>
      <c r="B117" s="4" t="n"/>
      <c r="C117" s="4" t="n"/>
      <c r="D117" s="4" t="n"/>
      <c r="E117" s="4" t="n"/>
      <c r="F117" s="4" t="n"/>
      <c r="G117" s="4" t="n"/>
      <c r="H117" s="4" t="n"/>
      <c r="I117" s="5" t="n"/>
      <c r="J117" s="5" t="n"/>
      <c r="K117" s="5" t="n"/>
      <c r="L117" s="5" t="n"/>
      <c r="M117" s="5" t="n"/>
      <c r="N117" s="4" t="n"/>
      <c r="O117" s="4" t="n"/>
      <c r="P117" s="20" t="n"/>
      <c r="Q117" s="30" t="n"/>
      <c r="R117" s="21">
        <f>IF($A117="","",ROUND(P117*Q117,2))</f>
        <v/>
      </c>
      <c r="S117" s="5" t="n"/>
      <c r="T117" s="4" t="n"/>
      <c r="U117" s="5" t="n"/>
      <c r="V117" s="21">
        <f>IF($A117="","",ROUND(P117-R117,2))</f>
        <v/>
      </c>
      <c r="W117" s="5" t="n"/>
      <c r="X117" s="4" t="n"/>
      <c r="Y117" s="5" t="n"/>
      <c r="Z117" s="21">
        <f>IF($A117="","",IF(T117="Pagado",N(R117),0)+IF(X117="Pagado",N(V117),0))</f>
        <v/>
      </c>
      <c r="AA117" s="21">
        <f>IF($A117="","",ROUND(N(P117)-N(Z117),2))</f>
        <v/>
      </c>
      <c r="AB117" s="21">
        <f>IF($A117="","",SUMIF('OTROS COMPONENTES'!$A$4:$A$200,$A117,'OTROS COMPONENTES'!$D$4:$D$200))</f>
        <v/>
      </c>
      <c r="AC117" s="21">
        <f>IF($A117="","",SUMIF('OTROS COMPONENTES'!$A$4:$A$200,$A117,'OTROS COMPONENTES'!$E$4:$E$200))</f>
        <v/>
      </c>
      <c r="AD117" s="21">
        <f>IF($A117="","",ROUND(N(AB117)-N(AC117),2))</f>
        <v/>
      </c>
      <c r="AE117" s="21">
        <f>IF($A117="","",ROUND(N(P117)+N(AB117),2))</f>
        <v/>
      </c>
      <c r="AF117" s="21">
        <f>IF($A117="","",ROUND(N(Z117)+N(AC117),2))</f>
        <v/>
      </c>
      <c r="AG117" s="21">
        <f>IF($A117="","",ROUND(N(AA117)+N(AD117),2))</f>
        <v/>
      </c>
      <c r="AH117" s="9">
        <f>IF($A117="","",IF(OR($H117="Por confirmar",$H117="Cerrado"),"No","Sí"))</f>
        <v/>
      </c>
      <c r="AI117" s="21">
        <f>IF($A117="","",IF(AH117="No",0,IF(RESUMEN!$B$4="Saldo por pagar al fabricante",AA117,IF(RESUMEN!$B$4="Monto completo del pedido",P117,IF(OR($H117="Embarcando",$H117="Embarcado"),N(AA117),N(P117))))))</f>
        <v/>
      </c>
      <c r="AJ117" s="9">
        <f>IF($A117="","",IF(COUNTIF($A$4:$A$200,$A117)&gt;1,"ID_Pedido repetido",IF(N($P117)&lt;=0,"Falta el costo del fabricante",IF($F117="","Falta el proyecto",IF($G117="","Falta el cliente",IF(AND($H117&lt;&gt;"Por confirmar",N($R117)&gt;0,$T117=""),"Falta el estado del anticipo",IF(AND($H117&lt;&gt;"Por confirmar",N($V117)&gt;0,$X117=""),"Falta el estado del balance",IF($E117&gt;1,""&amp;$E117&amp;" equipos en una fila: pártela en una por proyecto",IF(AND($X117="Pendiente",N($V117)&gt;0,$W117=""),"Falta la fecha en que vence el balance",IF(AND($H117&lt;&gt;"Por confirmar",$H117&lt;&gt;"Cerrado",$AI117=0),"Consume 0 de cupo pero no está Por confirmar",""))))))))))</f>
        <v/>
      </c>
      <c r="AK117" s="4" t="n"/>
    </row>
    <row r="118">
      <c r="A118" s="4" t="n"/>
      <c r="B118" s="4" t="n"/>
      <c r="C118" s="4" t="n"/>
      <c r="D118" s="4" t="n"/>
      <c r="E118" s="4" t="n"/>
      <c r="F118" s="4" t="n"/>
      <c r="G118" s="4" t="n"/>
      <c r="H118" s="4" t="n"/>
      <c r="I118" s="5" t="n"/>
      <c r="J118" s="5" t="n"/>
      <c r="K118" s="5" t="n"/>
      <c r="L118" s="5" t="n"/>
      <c r="M118" s="5" t="n"/>
      <c r="N118" s="4" t="n"/>
      <c r="O118" s="4" t="n"/>
      <c r="P118" s="20" t="n"/>
      <c r="Q118" s="30" t="n"/>
      <c r="R118" s="21">
        <f>IF($A118="","",ROUND(P118*Q118,2))</f>
        <v/>
      </c>
      <c r="S118" s="5" t="n"/>
      <c r="T118" s="4" t="n"/>
      <c r="U118" s="5" t="n"/>
      <c r="V118" s="21">
        <f>IF($A118="","",ROUND(P118-R118,2))</f>
        <v/>
      </c>
      <c r="W118" s="5" t="n"/>
      <c r="X118" s="4" t="n"/>
      <c r="Y118" s="5" t="n"/>
      <c r="Z118" s="21">
        <f>IF($A118="","",IF(T118="Pagado",N(R118),0)+IF(X118="Pagado",N(V118),0))</f>
        <v/>
      </c>
      <c r="AA118" s="21">
        <f>IF($A118="","",ROUND(N(P118)-N(Z118),2))</f>
        <v/>
      </c>
      <c r="AB118" s="21">
        <f>IF($A118="","",SUMIF('OTROS COMPONENTES'!$A$4:$A$200,$A118,'OTROS COMPONENTES'!$D$4:$D$200))</f>
        <v/>
      </c>
      <c r="AC118" s="21">
        <f>IF($A118="","",SUMIF('OTROS COMPONENTES'!$A$4:$A$200,$A118,'OTROS COMPONENTES'!$E$4:$E$200))</f>
        <v/>
      </c>
      <c r="AD118" s="21">
        <f>IF($A118="","",ROUND(N(AB118)-N(AC118),2))</f>
        <v/>
      </c>
      <c r="AE118" s="21">
        <f>IF($A118="","",ROUND(N(P118)+N(AB118),2))</f>
        <v/>
      </c>
      <c r="AF118" s="21">
        <f>IF($A118="","",ROUND(N(Z118)+N(AC118),2))</f>
        <v/>
      </c>
      <c r="AG118" s="21">
        <f>IF($A118="","",ROUND(N(AA118)+N(AD118),2))</f>
        <v/>
      </c>
      <c r="AH118" s="9">
        <f>IF($A118="","",IF(OR($H118="Por confirmar",$H118="Cerrado"),"No","Sí"))</f>
        <v/>
      </c>
      <c r="AI118" s="21">
        <f>IF($A118="","",IF(AH118="No",0,IF(RESUMEN!$B$4="Saldo por pagar al fabricante",AA118,IF(RESUMEN!$B$4="Monto completo del pedido",P118,IF(OR($H118="Embarcando",$H118="Embarcado"),N(AA118),N(P118))))))</f>
        <v/>
      </c>
      <c r="AJ118" s="9">
        <f>IF($A118="","",IF(COUNTIF($A$4:$A$200,$A118)&gt;1,"ID_Pedido repetido",IF(N($P118)&lt;=0,"Falta el costo del fabricante",IF($F118="","Falta el proyecto",IF($G118="","Falta el cliente",IF(AND($H118&lt;&gt;"Por confirmar",N($R118)&gt;0,$T118=""),"Falta el estado del anticipo",IF(AND($H118&lt;&gt;"Por confirmar",N($V118)&gt;0,$X118=""),"Falta el estado del balance",IF($E118&gt;1,""&amp;$E118&amp;" equipos en una fila: pártela en una por proyecto",IF(AND($X118="Pendiente",N($V118)&gt;0,$W118=""),"Falta la fecha en que vence el balance",IF(AND($H118&lt;&gt;"Por confirmar",$H118&lt;&gt;"Cerrado",$AI118=0),"Consume 0 de cupo pero no está Por confirmar",""))))))))))</f>
        <v/>
      </c>
      <c r="AK118" s="4" t="n"/>
    </row>
    <row r="119">
      <c r="A119" s="4" t="n"/>
      <c r="B119" s="4" t="n"/>
      <c r="C119" s="4" t="n"/>
      <c r="D119" s="4" t="n"/>
      <c r="E119" s="4" t="n"/>
      <c r="F119" s="4" t="n"/>
      <c r="G119" s="4" t="n"/>
      <c r="H119" s="4" t="n"/>
      <c r="I119" s="5" t="n"/>
      <c r="J119" s="5" t="n"/>
      <c r="K119" s="5" t="n"/>
      <c r="L119" s="5" t="n"/>
      <c r="M119" s="5" t="n"/>
      <c r="N119" s="4" t="n"/>
      <c r="O119" s="4" t="n"/>
      <c r="P119" s="20" t="n"/>
      <c r="Q119" s="30" t="n"/>
      <c r="R119" s="21">
        <f>IF($A119="","",ROUND(P119*Q119,2))</f>
        <v/>
      </c>
      <c r="S119" s="5" t="n"/>
      <c r="T119" s="4" t="n"/>
      <c r="U119" s="5" t="n"/>
      <c r="V119" s="21">
        <f>IF($A119="","",ROUND(P119-R119,2))</f>
        <v/>
      </c>
      <c r="W119" s="5" t="n"/>
      <c r="X119" s="4" t="n"/>
      <c r="Y119" s="5" t="n"/>
      <c r="Z119" s="21">
        <f>IF($A119="","",IF(T119="Pagado",N(R119),0)+IF(X119="Pagado",N(V119),0))</f>
        <v/>
      </c>
      <c r="AA119" s="21">
        <f>IF($A119="","",ROUND(N(P119)-N(Z119),2))</f>
        <v/>
      </c>
      <c r="AB119" s="21">
        <f>IF($A119="","",SUMIF('OTROS COMPONENTES'!$A$4:$A$200,$A119,'OTROS COMPONENTES'!$D$4:$D$200))</f>
        <v/>
      </c>
      <c r="AC119" s="21">
        <f>IF($A119="","",SUMIF('OTROS COMPONENTES'!$A$4:$A$200,$A119,'OTROS COMPONENTES'!$E$4:$E$200))</f>
        <v/>
      </c>
      <c r="AD119" s="21">
        <f>IF($A119="","",ROUND(N(AB119)-N(AC119),2))</f>
        <v/>
      </c>
      <c r="AE119" s="21">
        <f>IF($A119="","",ROUND(N(P119)+N(AB119),2))</f>
        <v/>
      </c>
      <c r="AF119" s="21">
        <f>IF($A119="","",ROUND(N(Z119)+N(AC119),2))</f>
        <v/>
      </c>
      <c r="AG119" s="21">
        <f>IF($A119="","",ROUND(N(AA119)+N(AD119),2))</f>
        <v/>
      </c>
      <c r="AH119" s="9">
        <f>IF($A119="","",IF(OR($H119="Por confirmar",$H119="Cerrado"),"No","Sí"))</f>
        <v/>
      </c>
      <c r="AI119" s="21">
        <f>IF($A119="","",IF(AH119="No",0,IF(RESUMEN!$B$4="Saldo por pagar al fabricante",AA119,IF(RESUMEN!$B$4="Monto completo del pedido",P119,IF(OR($H119="Embarcando",$H119="Embarcado"),N(AA119),N(P119))))))</f>
        <v/>
      </c>
      <c r="AJ119" s="9">
        <f>IF($A119="","",IF(COUNTIF($A$4:$A$200,$A119)&gt;1,"ID_Pedido repetido",IF(N($P119)&lt;=0,"Falta el costo del fabricante",IF($F119="","Falta el proyecto",IF($G119="","Falta el cliente",IF(AND($H119&lt;&gt;"Por confirmar",N($R119)&gt;0,$T119=""),"Falta el estado del anticipo",IF(AND($H119&lt;&gt;"Por confirmar",N($V119)&gt;0,$X119=""),"Falta el estado del balance",IF($E119&gt;1,""&amp;$E119&amp;" equipos en una fila: pártela en una por proyecto",IF(AND($X119="Pendiente",N($V119)&gt;0,$W119=""),"Falta la fecha en que vence el balance",IF(AND($H119&lt;&gt;"Por confirmar",$H119&lt;&gt;"Cerrado",$AI119=0),"Consume 0 de cupo pero no está Por confirmar",""))))))))))</f>
        <v/>
      </c>
      <c r="AK119" s="4" t="n"/>
    </row>
    <row r="120">
      <c r="A120" s="4" t="n"/>
      <c r="B120" s="4" t="n"/>
      <c r="C120" s="4" t="n"/>
      <c r="D120" s="4" t="n"/>
      <c r="E120" s="4" t="n"/>
      <c r="F120" s="4" t="n"/>
      <c r="G120" s="4" t="n"/>
      <c r="H120" s="4" t="n"/>
      <c r="I120" s="5" t="n"/>
      <c r="J120" s="5" t="n"/>
      <c r="K120" s="5" t="n"/>
      <c r="L120" s="5" t="n"/>
      <c r="M120" s="5" t="n"/>
      <c r="N120" s="4" t="n"/>
      <c r="O120" s="4" t="n"/>
      <c r="P120" s="20" t="n"/>
      <c r="Q120" s="30" t="n"/>
      <c r="R120" s="21">
        <f>IF($A120="","",ROUND(P120*Q120,2))</f>
        <v/>
      </c>
      <c r="S120" s="5" t="n"/>
      <c r="T120" s="4" t="n"/>
      <c r="U120" s="5" t="n"/>
      <c r="V120" s="21">
        <f>IF($A120="","",ROUND(P120-R120,2))</f>
        <v/>
      </c>
      <c r="W120" s="5" t="n"/>
      <c r="X120" s="4" t="n"/>
      <c r="Y120" s="5" t="n"/>
      <c r="Z120" s="21">
        <f>IF($A120="","",IF(T120="Pagado",N(R120),0)+IF(X120="Pagado",N(V120),0))</f>
        <v/>
      </c>
      <c r="AA120" s="21">
        <f>IF($A120="","",ROUND(N(P120)-N(Z120),2))</f>
        <v/>
      </c>
      <c r="AB120" s="21">
        <f>IF($A120="","",SUMIF('OTROS COMPONENTES'!$A$4:$A$200,$A120,'OTROS COMPONENTES'!$D$4:$D$200))</f>
        <v/>
      </c>
      <c r="AC120" s="21">
        <f>IF($A120="","",SUMIF('OTROS COMPONENTES'!$A$4:$A$200,$A120,'OTROS COMPONENTES'!$E$4:$E$200))</f>
        <v/>
      </c>
      <c r="AD120" s="21">
        <f>IF($A120="","",ROUND(N(AB120)-N(AC120),2))</f>
        <v/>
      </c>
      <c r="AE120" s="21">
        <f>IF($A120="","",ROUND(N(P120)+N(AB120),2))</f>
        <v/>
      </c>
      <c r="AF120" s="21">
        <f>IF($A120="","",ROUND(N(Z120)+N(AC120),2))</f>
        <v/>
      </c>
      <c r="AG120" s="21">
        <f>IF($A120="","",ROUND(N(AA120)+N(AD120),2))</f>
        <v/>
      </c>
      <c r="AH120" s="9">
        <f>IF($A120="","",IF(OR($H120="Por confirmar",$H120="Cerrado"),"No","Sí"))</f>
        <v/>
      </c>
      <c r="AI120" s="21">
        <f>IF($A120="","",IF(AH120="No",0,IF(RESUMEN!$B$4="Saldo por pagar al fabricante",AA120,IF(RESUMEN!$B$4="Monto completo del pedido",P120,IF(OR($H120="Embarcando",$H120="Embarcado"),N(AA120),N(P120))))))</f>
        <v/>
      </c>
      <c r="AJ120" s="9">
        <f>IF($A120="","",IF(COUNTIF($A$4:$A$200,$A120)&gt;1,"ID_Pedido repetido",IF(N($P120)&lt;=0,"Falta el costo del fabricante",IF($F120="","Falta el proyecto",IF($G120="","Falta el cliente",IF(AND($H120&lt;&gt;"Por confirmar",N($R120)&gt;0,$T120=""),"Falta el estado del anticipo",IF(AND($H120&lt;&gt;"Por confirmar",N($V120)&gt;0,$X120=""),"Falta el estado del balance",IF($E120&gt;1,""&amp;$E120&amp;" equipos en una fila: pártela en una por proyecto",IF(AND($X120="Pendiente",N($V120)&gt;0,$W120=""),"Falta la fecha en que vence el balance",IF(AND($H120&lt;&gt;"Por confirmar",$H120&lt;&gt;"Cerrado",$AI120=0),"Consume 0 de cupo pero no está Por confirmar",""))))))))))</f>
        <v/>
      </c>
      <c r="AK120" s="4" t="n"/>
    </row>
    <row r="121">
      <c r="A121" s="4" t="n"/>
      <c r="B121" s="4" t="n"/>
      <c r="C121" s="4" t="n"/>
      <c r="D121" s="4" t="n"/>
      <c r="E121" s="4" t="n"/>
      <c r="F121" s="4" t="n"/>
      <c r="G121" s="4" t="n"/>
      <c r="H121" s="4" t="n"/>
      <c r="I121" s="5" t="n"/>
      <c r="J121" s="5" t="n"/>
      <c r="K121" s="5" t="n"/>
      <c r="L121" s="5" t="n"/>
      <c r="M121" s="5" t="n"/>
      <c r="N121" s="4" t="n"/>
      <c r="O121" s="4" t="n"/>
      <c r="P121" s="20" t="n"/>
      <c r="Q121" s="30" t="n"/>
      <c r="R121" s="21">
        <f>IF($A121="","",ROUND(P121*Q121,2))</f>
        <v/>
      </c>
      <c r="S121" s="5" t="n"/>
      <c r="T121" s="4" t="n"/>
      <c r="U121" s="5" t="n"/>
      <c r="V121" s="21">
        <f>IF($A121="","",ROUND(P121-R121,2))</f>
        <v/>
      </c>
      <c r="W121" s="5" t="n"/>
      <c r="X121" s="4" t="n"/>
      <c r="Y121" s="5" t="n"/>
      <c r="Z121" s="21">
        <f>IF($A121="","",IF(T121="Pagado",N(R121),0)+IF(X121="Pagado",N(V121),0))</f>
        <v/>
      </c>
      <c r="AA121" s="21">
        <f>IF($A121="","",ROUND(N(P121)-N(Z121),2))</f>
        <v/>
      </c>
      <c r="AB121" s="21">
        <f>IF($A121="","",SUMIF('OTROS COMPONENTES'!$A$4:$A$200,$A121,'OTROS COMPONENTES'!$D$4:$D$200))</f>
        <v/>
      </c>
      <c r="AC121" s="21">
        <f>IF($A121="","",SUMIF('OTROS COMPONENTES'!$A$4:$A$200,$A121,'OTROS COMPONENTES'!$E$4:$E$200))</f>
        <v/>
      </c>
      <c r="AD121" s="21">
        <f>IF($A121="","",ROUND(N(AB121)-N(AC121),2))</f>
        <v/>
      </c>
      <c r="AE121" s="21">
        <f>IF($A121="","",ROUND(N(P121)+N(AB121),2))</f>
        <v/>
      </c>
      <c r="AF121" s="21">
        <f>IF($A121="","",ROUND(N(Z121)+N(AC121),2))</f>
        <v/>
      </c>
      <c r="AG121" s="21">
        <f>IF($A121="","",ROUND(N(AA121)+N(AD121),2))</f>
        <v/>
      </c>
      <c r="AH121" s="9">
        <f>IF($A121="","",IF(OR($H121="Por confirmar",$H121="Cerrado"),"No","Sí"))</f>
        <v/>
      </c>
      <c r="AI121" s="21">
        <f>IF($A121="","",IF(AH121="No",0,IF(RESUMEN!$B$4="Saldo por pagar al fabricante",AA121,IF(RESUMEN!$B$4="Monto completo del pedido",P121,IF(OR($H121="Embarcando",$H121="Embarcado"),N(AA121),N(P121))))))</f>
        <v/>
      </c>
      <c r="AJ121" s="9">
        <f>IF($A121="","",IF(COUNTIF($A$4:$A$200,$A121)&gt;1,"ID_Pedido repetido",IF(N($P121)&lt;=0,"Falta el costo del fabricante",IF($F121="","Falta el proyecto",IF($G121="","Falta el cliente",IF(AND($H121&lt;&gt;"Por confirmar",N($R121)&gt;0,$T121=""),"Falta el estado del anticipo",IF(AND($H121&lt;&gt;"Por confirmar",N($V121)&gt;0,$X121=""),"Falta el estado del balance",IF($E121&gt;1,""&amp;$E121&amp;" equipos en una fila: pártela en una por proyecto",IF(AND($X121="Pendiente",N($V121)&gt;0,$W121=""),"Falta la fecha en que vence el balance",IF(AND($H121&lt;&gt;"Por confirmar",$H121&lt;&gt;"Cerrado",$AI121=0),"Consume 0 de cupo pero no está Por confirmar",""))))))))))</f>
        <v/>
      </c>
      <c r="AK121" s="4" t="n"/>
    </row>
    <row r="122">
      <c r="A122" s="4" t="n"/>
      <c r="B122" s="4" t="n"/>
      <c r="C122" s="4" t="n"/>
      <c r="D122" s="4" t="n"/>
      <c r="E122" s="4" t="n"/>
      <c r="F122" s="4" t="n"/>
      <c r="G122" s="4" t="n"/>
      <c r="H122" s="4" t="n"/>
      <c r="I122" s="5" t="n"/>
      <c r="J122" s="5" t="n"/>
      <c r="K122" s="5" t="n"/>
      <c r="L122" s="5" t="n"/>
      <c r="M122" s="5" t="n"/>
      <c r="N122" s="4" t="n"/>
      <c r="O122" s="4" t="n"/>
      <c r="P122" s="20" t="n"/>
      <c r="Q122" s="30" t="n"/>
      <c r="R122" s="21">
        <f>IF($A122="","",ROUND(P122*Q122,2))</f>
        <v/>
      </c>
      <c r="S122" s="5" t="n"/>
      <c r="T122" s="4" t="n"/>
      <c r="U122" s="5" t="n"/>
      <c r="V122" s="21">
        <f>IF($A122="","",ROUND(P122-R122,2))</f>
        <v/>
      </c>
      <c r="W122" s="5" t="n"/>
      <c r="X122" s="4" t="n"/>
      <c r="Y122" s="5" t="n"/>
      <c r="Z122" s="21">
        <f>IF($A122="","",IF(T122="Pagado",N(R122),0)+IF(X122="Pagado",N(V122),0))</f>
        <v/>
      </c>
      <c r="AA122" s="21">
        <f>IF($A122="","",ROUND(N(P122)-N(Z122),2))</f>
        <v/>
      </c>
      <c r="AB122" s="21">
        <f>IF($A122="","",SUMIF('OTROS COMPONENTES'!$A$4:$A$200,$A122,'OTROS COMPONENTES'!$D$4:$D$200))</f>
        <v/>
      </c>
      <c r="AC122" s="21">
        <f>IF($A122="","",SUMIF('OTROS COMPONENTES'!$A$4:$A$200,$A122,'OTROS COMPONENTES'!$E$4:$E$200))</f>
        <v/>
      </c>
      <c r="AD122" s="21">
        <f>IF($A122="","",ROUND(N(AB122)-N(AC122),2))</f>
        <v/>
      </c>
      <c r="AE122" s="21">
        <f>IF($A122="","",ROUND(N(P122)+N(AB122),2))</f>
        <v/>
      </c>
      <c r="AF122" s="21">
        <f>IF($A122="","",ROUND(N(Z122)+N(AC122),2))</f>
        <v/>
      </c>
      <c r="AG122" s="21">
        <f>IF($A122="","",ROUND(N(AA122)+N(AD122),2))</f>
        <v/>
      </c>
      <c r="AH122" s="9">
        <f>IF($A122="","",IF(OR($H122="Por confirmar",$H122="Cerrado"),"No","Sí"))</f>
        <v/>
      </c>
      <c r="AI122" s="21">
        <f>IF($A122="","",IF(AH122="No",0,IF(RESUMEN!$B$4="Saldo por pagar al fabricante",AA122,IF(RESUMEN!$B$4="Monto completo del pedido",P122,IF(OR($H122="Embarcando",$H122="Embarcado"),N(AA122),N(P122))))))</f>
        <v/>
      </c>
      <c r="AJ122" s="9">
        <f>IF($A122="","",IF(COUNTIF($A$4:$A$200,$A122)&gt;1,"ID_Pedido repetido",IF(N($P122)&lt;=0,"Falta el costo del fabricante",IF($F122="","Falta el proyecto",IF($G122="","Falta el cliente",IF(AND($H122&lt;&gt;"Por confirmar",N($R122)&gt;0,$T122=""),"Falta el estado del anticipo",IF(AND($H122&lt;&gt;"Por confirmar",N($V122)&gt;0,$X122=""),"Falta el estado del balance",IF($E122&gt;1,""&amp;$E122&amp;" equipos en una fila: pártela en una por proyecto",IF(AND($X122="Pendiente",N($V122)&gt;0,$W122=""),"Falta la fecha en que vence el balance",IF(AND($H122&lt;&gt;"Por confirmar",$H122&lt;&gt;"Cerrado",$AI122=0),"Consume 0 de cupo pero no está Por confirmar",""))))))))))</f>
        <v/>
      </c>
      <c r="AK122" s="4" t="n"/>
    </row>
    <row r="123">
      <c r="A123" s="4" t="n"/>
      <c r="B123" s="4" t="n"/>
      <c r="C123" s="4" t="n"/>
      <c r="D123" s="4" t="n"/>
      <c r="E123" s="4" t="n"/>
      <c r="F123" s="4" t="n"/>
      <c r="G123" s="4" t="n"/>
      <c r="H123" s="4" t="n"/>
      <c r="I123" s="5" t="n"/>
      <c r="J123" s="5" t="n"/>
      <c r="K123" s="5" t="n"/>
      <c r="L123" s="5" t="n"/>
      <c r="M123" s="5" t="n"/>
      <c r="N123" s="4" t="n"/>
      <c r="O123" s="4" t="n"/>
      <c r="P123" s="20" t="n"/>
      <c r="Q123" s="30" t="n"/>
      <c r="R123" s="21">
        <f>IF($A123="","",ROUND(P123*Q123,2))</f>
        <v/>
      </c>
      <c r="S123" s="5" t="n"/>
      <c r="T123" s="4" t="n"/>
      <c r="U123" s="5" t="n"/>
      <c r="V123" s="21">
        <f>IF($A123="","",ROUND(P123-R123,2))</f>
        <v/>
      </c>
      <c r="W123" s="5" t="n"/>
      <c r="X123" s="4" t="n"/>
      <c r="Y123" s="5" t="n"/>
      <c r="Z123" s="21">
        <f>IF($A123="","",IF(T123="Pagado",N(R123),0)+IF(X123="Pagado",N(V123),0))</f>
        <v/>
      </c>
      <c r="AA123" s="21">
        <f>IF($A123="","",ROUND(N(P123)-N(Z123),2))</f>
        <v/>
      </c>
      <c r="AB123" s="21">
        <f>IF($A123="","",SUMIF('OTROS COMPONENTES'!$A$4:$A$200,$A123,'OTROS COMPONENTES'!$D$4:$D$200))</f>
        <v/>
      </c>
      <c r="AC123" s="21">
        <f>IF($A123="","",SUMIF('OTROS COMPONENTES'!$A$4:$A$200,$A123,'OTROS COMPONENTES'!$E$4:$E$200))</f>
        <v/>
      </c>
      <c r="AD123" s="21">
        <f>IF($A123="","",ROUND(N(AB123)-N(AC123),2))</f>
        <v/>
      </c>
      <c r="AE123" s="21">
        <f>IF($A123="","",ROUND(N(P123)+N(AB123),2))</f>
        <v/>
      </c>
      <c r="AF123" s="21">
        <f>IF($A123="","",ROUND(N(Z123)+N(AC123),2))</f>
        <v/>
      </c>
      <c r="AG123" s="21">
        <f>IF($A123="","",ROUND(N(AA123)+N(AD123),2))</f>
        <v/>
      </c>
      <c r="AH123" s="9">
        <f>IF($A123="","",IF(OR($H123="Por confirmar",$H123="Cerrado"),"No","Sí"))</f>
        <v/>
      </c>
      <c r="AI123" s="21">
        <f>IF($A123="","",IF(AH123="No",0,IF(RESUMEN!$B$4="Saldo por pagar al fabricante",AA123,IF(RESUMEN!$B$4="Monto completo del pedido",P123,IF(OR($H123="Embarcando",$H123="Embarcado"),N(AA123),N(P123))))))</f>
        <v/>
      </c>
      <c r="AJ123" s="9">
        <f>IF($A123="","",IF(COUNTIF($A$4:$A$200,$A123)&gt;1,"ID_Pedido repetido",IF(N($P123)&lt;=0,"Falta el costo del fabricante",IF($F123="","Falta el proyecto",IF($G123="","Falta el cliente",IF(AND($H123&lt;&gt;"Por confirmar",N($R123)&gt;0,$T123=""),"Falta el estado del anticipo",IF(AND($H123&lt;&gt;"Por confirmar",N($V123)&gt;0,$X123=""),"Falta el estado del balance",IF($E123&gt;1,""&amp;$E123&amp;" equipos en una fila: pártela en una por proyecto",IF(AND($X123="Pendiente",N($V123)&gt;0,$W123=""),"Falta la fecha en que vence el balance",IF(AND($H123&lt;&gt;"Por confirmar",$H123&lt;&gt;"Cerrado",$AI123=0),"Consume 0 de cupo pero no está Por confirmar",""))))))))))</f>
        <v/>
      </c>
      <c r="AK123" s="4" t="n"/>
    </row>
    <row r="124">
      <c r="A124" s="4" t="n"/>
      <c r="B124" s="4" t="n"/>
      <c r="C124" s="4" t="n"/>
      <c r="D124" s="4" t="n"/>
      <c r="E124" s="4" t="n"/>
      <c r="F124" s="4" t="n"/>
      <c r="G124" s="4" t="n"/>
      <c r="H124" s="4" t="n"/>
      <c r="I124" s="5" t="n"/>
      <c r="J124" s="5" t="n"/>
      <c r="K124" s="5" t="n"/>
      <c r="L124" s="5" t="n"/>
      <c r="M124" s="5" t="n"/>
      <c r="N124" s="4" t="n"/>
      <c r="O124" s="4" t="n"/>
      <c r="P124" s="20" t="n"/>
      <c r="Q124" s="30" t="n"/>
      <c r="R124" s="21">
        <f>IF($A124="","",ROUND(P124*Q124,2))</f>
        <v/>
      </c>
      <c r="S124" s="5" t="n"/>
      <c r="T124" s="4" t="n"/>
      <c r="U124" s="5" t="n"/>
      <c r="V124" s="21">
        <f>IF($A124="","",ROUND(P124-R124,2))</f>
        <v/>
      </c>
      <c r="W124" s="5" t="n"/>
      <c r="X124" s="4" t="n"/>
      <c r="Y124" s="5" t="n"/>
      <c r="Z124" s="21">
        <f>IF($A124="","",IF(T124="Pagado",N(R124),0)+IF(X124="Pagado",N(V124),0))</f>
        <v/>
      </c>
      <c r="AA124" s="21">
        <f>IF($A124="","",ROUND(N(P124)-N(Z124),2))</f>
        <v/>
      </c>
      <c r="AB124" s="21">
        <f>IF($A124="","",SUMIF('OTROS COMPONENTES'!$A$4:$A$200,$A124,'OTROS COMPONENTES'!$D$4:$D$200))</f>
        <v/>
      </c>
      <c r="AC124" s="21">
        <f>IF($A124="","",SUMIF('OTROS COMPONENTES'!$A$4:$A$200,$A124,'OTROS COMPONENTES'!$E$4:$E$200))</f>
        <v/>
      </c>
      <c r="AD124" s="21">
        <f>IF($A124="","",ROUND(N(AB124)-N(AC124),2))</f>
        <v/>
      </c>
      <c r="AE124" s="21">
        <f>IF($A124="","",ROUND(N(P124)+N(AB124),2))</f>
        <v/>
      </c>
      <c r="AF124" s="21">
        <f>IF($A124="","",ROUND(N(Z124)+N(AC124),2))</f>
        <v/>
      </c>
      <c r="AG124" s="21">
        <f>IF($A124="","",ROUND(N(AA124)+N(AD124),2))</f>
        <v/>
      </c>
      <c r="AH124" s="9">
        <f>IF($A124="","",IF(OR($H124="Por confirmar",$H124="Cerrado"),"No","Sí"))</f>
        <v/>
      </c>
      <c r="AI124" s="21">
        <f>IF($A124="","",IF(AH124="No",0,IF(RESUMEN!$B$4="Saldo por pagar al fabricante",AA124,IF(RESUMEN!$B$4="Monto completo del pedido",P124,IF(OR($H124="Embarcando",$H124="Embarcado"),N(AA124),N(P124))))))</f>
        <v/>
      </c>
      <c r="AJ124" s="9">
        <f>IF($A124="","",IF(COUNTIF($A$4:$A$200,$A124)&gt;1,"ID_Pedido repetido",IF(N($P124)&lt;=0,"Falta el costo del fabricante",IF($F124="","Falta el proyecto",IF($G124="","Falta el cliente",IF(AND($H124&lt;&gt;"Por confirmar",N($R124)&gt;0,$T124=""),"Falta el estado del anticipo",IF(AND($H124&lt;&gt;"Por confirmar",N($V124)&gt;0,$X124=""),"Falta el estado del balance",IF($E124&gt;1,""&amp;$E124&amp;" equipos en una fila: pártela en una por proyecto",IF(AND($X124="Pendiente",N($V124)&gt;0,$W124=""),"Falta la fecha en que vence el balance",IF(AND($H124&lt;&gt;"Por confirmar",$H124&lt;&gt;"Cerrado",$AI124=0),"Consume 0 de cupo pero no está Por confirmar",""))))))))))</f>
        <v/>
      </c>
      <c r="AK124" s="4" t="n"/>
    </row>
    <row r="125">
      <c r="A125" s="4" t="n"/>
      <c r="B125" s="4" t="n"/>
      <c r="C125" s="4" t="n"/>
      <c r="D125" s="4" t="n"/>
      <c r="E125" s="4" t="n"/>
      <c r="F125" s="4" t="n"/>
      <c r="G125" s="4" t="n"/>
      <c r="H125" s="4" t="n"/>
      <c r="I125" s="5" t="n"/>
      <c r="J125" s="5" t="n"/>
      <c r="K125" s="5" t="n"/>
      <c r="L125" s="5" t="n"/>
      <c r="M125" s="5" t="n"/>
      <c r="N125" s="4" t="n"/>
      <c r="O125" s="4" t="n"/>
      <c r="P125" s="20" t="n"/>
      <c r="Q125" s="30" t="n"/>
      <c r="R125" s="21">
        <f>IF($A125="","",ROUND(P125*Q125,2))</f>
        <v/>
      </c>
      <c r="S125" s="5" t="n"/>
      <c r="T125" s="4" t="n"/>
      <c r="U125" s="5" t="n"/>
      <c r="V125" s="21">
        <f>IF($A125="","",ROUND(P125-R125,2))</f>
        <v/>
      </c>
      <c r="W125" s="5" t="n"/>
      <c r="X125" s="4" t="n"/>
      <c r="Y125" s="5" t="n"/>
      <c r="Z125" s="21">
        <f>IF($A125="","",IF(T125="Pagado",N(R125),0)+IF(X125="Pagado",N(V125),0))</f>
        <v/>
      </c>
      <c r="AA125" s="21">
        <f>IF($A125="","",ROUND(N(P125)-N(Z125),2))</f>
        <v/>
      </c>
      <c r="AB125" s="21">
        <f>IF($A125="","",SUMIF('OTROS COMPONENTES'!$A$4:$A$200,$A125,'OTROS COMPONENTES'!$D$4:$D$200))</f>
        <v/>
      </c>
      <c r="AC125" s="21">
        <f>IF($A125="","",SUMIF('OTROS COMPONENTES'!$A$4:$A$200,$A125,'OTROS COMPONENTES'!$E$4:$E$200))</f>
        <v/>
      </c>
      <c r="AD125" s="21">
        <f>IF($A125="","",ROUND(N(AB125)-N(AC125),2))</f>
        <v/>
      </c>
      <c r="AE125" s="21">
        <f>IF($A125="","",ROUND(N(P125)+N(AB125),2))</f>
        <v/>
      </c>
      <c r="AF125" s="21">
        <f>IF($A125="","",ROUND(N(Z125)+N(AC125),2))</f>
        <v/>
      </c>
      <c r="AG125" s="21">
        <f>IF($A125="","",ROUND(N(AA125)+N(AD125),2))</f>
        <v/>
      </c>
      <c r="AH125" s="9">
        <f>IF($A125="","",IF(OR($H125="Por confirmar",$H125="Cerrado"),"No","Sí"))</f>
        <v/>
      </c>
      <c r="AI125" s="21">
        <f>IF($A125="","",IF(AH125="No",0,IF(RESUMEN!$B$4="Saldo por pagar al fabricante",AA125,IF(RESUMEN!$B$4="Monto completo del pedido",P125,IF(OR($H125="Embarcando",$H125="Embarcado"),N(AA125),N(P125))))))</f>
        <v/>
      </c>
      <c r="AJ125" s="9">
        <f>IF($A125="","",IF(COUNTIF($A$4:$A$200,$A125)&gt;1,"ID_Pedido repetido",IF(N($P125)&lt;=0,"Falta el costo del fabricante",IF($F125="","Falta el proyecto",IF($G125="","Falta el cliente",IF(AND($H125&lt;&gt;"Por confirmar",N($R125)&gt;0,$T125=""),"Falta el estado del anticipo",IF(AND($H125&lt;&gt;"Por confirmar",N($V125)&gt;0,$X125=""),"Falta el estado del balance",IF($E125&gt;1,""&amp;$E125&amp;" equipos en una fila: pártela en una por proyecto",IF(AND($X125="Pendiente",N($V125)&gt;0,$W125=""),"Falta la fecha en que vence el balance",IF(AND($H125&lt;&gt;"Por confirmar",$H125&lt;&gt;"Cerrado",$AI125=0),"Consume 0 de cupo pero no está Por confirmar",""))))))))))</f>
        <v/>
      </c>
      <c r="AK125" s="4" t="n"/>
    </row>
    <row r="126">
      <c r="A126" s="4" t="n"/>
      <c r="B126" s="4" t="n"/>
      <c r="C126" s="4" t="n"/>
      <c r="D126" s="4" t="n"/>
      <c r="E126" s="4" t="n"/>
      <c r="F126" s="4" t="n"/>
      <c r="G126" s="4" t="n"/>
      <c r="H126" s="4" t="n"/>
      <c r="I126" s="5" t="n"/>
      <c r="J126" s="5" t="n"/>
      <c r="K126" s="5" t="n"/>
      <c r="L126" s="5" t="n"/>
      <c r="M126" s="5" t="n"/>
      <c r="N126" s="4" t="n"/>
      <c r="O126" s="4" t="n"/>
      <c r="P126" s="20" t="n"/>
      <c r="Q126" s="30" t="n"/>
      <c r="R126" s="21">
        <f>IF($A126="","",ROUND(P126*Q126,2))</f>
        <v/>
      </c>
      <c r="S126" s="5" t="n"/>
      <c r="T126" s="4" t="n"/>
      <c r="U126" s="5" t="n"/>
      <c r="V126" s="21">
        <f>IF($A126="","",ROUND(P126-R126,2))</f>
        <v/>
      </c>
      <c r="W126" s="5" t="n"/>
      <c r="X126" s="4" t="n"/>
      <c r="Y126" s="5" t="n"/>
      <c r="Z126" s="21">
        <f>IF($A126="","",IF(T126="Pagado",N(R126),0)+IF(X126="Pagado",N(V126),0))</f>
        <v/>
      </c>
      <c r="AA126" s="21">
        <f>IF($A126="","",ROUND(N(P126)-N(Z126),2))</f>
        <v/>
      </c>
      <c r="AB126" s="21">
        <f>IF($A126="","",SUMIF('OTROS COMPONENTES'!$A$4:$A$200,$A126,'OTROS COMPONENTES'!$D$4:$D$200))</f>
        <v/>
      </c>
      <c r="AC126" s="21">
        <f>IF($A126="","",SUMIF('OTROS COMPONENTES'!$A$4:$A$200,$A126,'OTROS COMPONENTES'!$E$4:$E$200))</f>
        <v/>
      </c>
      <c r="AD126" s="21">
        <f>IF($A126="","",ROUND(N(AB126)-N(AC126),2))</f>
        <v/>
      </c>
      <c r="AE126" s="21">
        <f>IF($A126="","",ROUND(N(P126)+N(AB126),2))</f>
        <v/>
      </c>
      <c r="AF126" s="21">
        <f>IF($A126="","",ROUND(N(Z126)+N(AC126),2))</f>
        <v/>
      </c>
      <c r="AG126" s="21">
        <f>IF($A126="","",ROUND(N(AA126)+N(AD126),2))</f>
        <v/>
      </c>
      <c r="AH126" s="9">
        <f>IF($A126="","",IF(OR($H126="Por confirmar",$H126="Cerrado"),"No","Sí"))</f>
        <v/>
      </c>
      <c r="AI126" s="21">
        <f>IF($A126="","",IF(AH126="No",0,IF(RESUMEN!$B$4="Saldo por pagar al fabricante",AA126,IF(RESUMEN!$B$4="Monto completo del pedido",P126,IF(OR($H126="Embarcando",$H126="Embarcado"),N(AA126),N(P126))))))</f>
        <v/>
      </c>
      <c r="AJ126" s="9">
        <f>IF($A126="","",IF(COUNTIF($A$4:$A$200,$A126)&gt;1,"ID_Pedido repetido",IF(N($P126)&lt;=0,"Falta el costo del fabricante",IF($F126="","Falta el proyecto",IF($G126="","Falta el cliente",IF(AND($H126&lt;&gt;"Por confirmar",N($R126)&gt;0,$T126=""),"Falta el estado del anticipo",IF(AND($H126&lt;&gt;"Por confirmar",N($V126)&gt;0,$X126=""),"Falta el estado del balance",IF($E126&gt;1,""&amp;$E126&amp;" equipos en una fila: pártela en una por proyecto",IF(AND($X126="Pendiente",N($V126)&gt;0,$W126=""),"Falta la fecha en que vence el balance",IF(AND($H126&lt;&gt;"Por confirmar",$H126&lt;&gt;"Cerrado",$AI126=0),"Consume 0 de cupo pero no está Por confirmar",""))))))))))</f>
        <v/>
      </c>
      <c r="AK126" s="4" t="n"/>
    </row>
    <row r="127">
      <c r="A127" s="4" t="n"/>
      <c r="B127" s="4" t="n"/>
      <c r="C127" s="4" t="n"/>
      <c r="D127" s="4" t="n"/>
      <c r="E127" s="4" t="n"/>
      <c r="F127" s="4" t="n"/>
      <c r="G127" s="4" t="n"/>
      <c r="H127" s="4" t="n"/>
      <c r="I127" s="5" t="n"/>
      <c r="J127" s="5" t="n"/>
      <c r="K127" s="5" t="n"/>
      <c r="L127" s="5" t="n"/>
      <c r="M127" s="5" t="n"/>
      <c r="N127" s="4" t="n"/>
      <c r="O127" s="4" t="n"/>
      <c r="P127" s="20" t="n"/>
      <c r="Q127" s="30" t="n"/>
      <c r="R127" s="21">
        <f>IF($A127="","",ROUND(P127*Q127,2))</f>
        <v/>
      </c>
      <c r="S127" s="5" t="n"/>
      <c r="T127" s="4" t="n"/>
      <c r="U127" s="5" t="n"/>
      <c r="V127" s="21">
        <f>IF($A127="","",ROUND(P127-R127,2))</f>
        <v/>
      </c>
      <c r="W127" s="5" t="n"/>
      <c r="X127" s="4" t="n"/>
      <c r="Y127" s="5" t="n"/>
      <c r="Z127" s="21">
        <f>IF($A127="","",IF(T127="Pagado",N(R127),0)+IF(X127="Pagado",N(V127),0))</f>
        <v/>
      </c>
      <c r="AA127" s="21">
        <f>IF($A127="","",ROUND(N(P127)-N(Z127),2))</f>
        <v/>
      </c>
      <c r="AB127" s="21">
        <f>IF($A127="","",SUMIF('OTROS COMPONENTES'!$A$4:$A$200,$A127,'OTROS COMPONENTES'!$D$4:$D$200))</f>
        <v/>
      </c>
      <c r="AC127" s="21">
        <f>IF($A127="","",SUMIF('OTROS COMPONENTES'!$A$4:$A$200,$A127,'OTROS COMPONENTES'!$E$4:$E$200))</f>
        <v/>
      </c>
      <c r="AD127" s="21">
        <f>IF($A127="","",ROUND(N(AB127)-N(AC127),2))</f>
        <v/>
      </c>
      <c r="AE127" s="21">
        <f>IF($A127="","",ROUND(N(P127)+N(AB127),2))</f>
        <v/>
      </c>
      <c r="AF127" s="21">
        <f>IF($A127="","",ROUND(N(Z127)+N(AC127),2))</f>
        <v/>
      </c>
      <c r="AG127" s="21">
        <f>IF($A127="","",ROUND(N(AA127)+N(AD127),2))</f>
        <v/>
      </c>
      <c r="AH127" s="9">
        <f>IF($A127="","",IF(OR($H127="Por confirmar",$H127="Cerrado"),"No","Sí"))</f>
        <v/>
      </c>
      <c r="AI127" s="21">
        <f>IF($A127="","",IF(AH127="No",0,IF(RESUMEN!$B$4="Saldo por pagar al fabricante",AA127,IF(RESUMEN!$B$4="Monto completo del pedido",P127,IF(OR($H127="Embarcando",$H127="Embarcado"),N(AA127),N(P127))))))</f>
        <v/>
      </c>
      <c r="AJ127" s="9">
        <f>IF($A127="","",IF(COUNTIF($A$4:$A$200,$A127)&gt;1,"ID_Pedido repetido",IF(N($P127)&lt;=0,"Falta el costo del fabricante",IF($F127="","Falta el proyecto",IF($G127="","Falta el cliente",IF(AND($H127&lt;&gt;"Por confirmar",N($R127)&gt;0,$T127=""),"Falta el estado del anticipo",IF(AND($H127&lt;&gt;"Por confirmar",N($V127)&gt;0,$X127=""),"Falta el estado del balance",IF($E127&gt;1,""&amp;$E127&amp;" equipos en una fila: pártela en una por proyecto",IF(AND($X127="Pendiente",N($V127)&gt;0,$W127=""),"Falta la fecha en que vence el balance",IF(AND($H127&lt;&gt;"Por confirmar",$H127&lt;&gt;"Cerrado",$AI127=0),"Consume 0 de cupo pero no está Por confirmar",""))))))))))</f>
        <v/>
      </c>
      <c r="AK127" s="4" t="n"/>
    </row>
    <row r="128">
      <c r="A128" s="4" t="n"/>
      <c r="B128" s="4" t="n"/>
      <c r="C128" s="4" t="n"/>
      <c r="D128" s="4" t="n"/>
      <c r="E128" s="4" t="n"/>
      <c r="F128" s="4" t="n"/>
      <c r="G128" s="4" t="n"/>
      <c r="H128" s="4" t="n"/>
      <c r="I128" s="5" t="n"/>
      <c r="J128" s="5" t="n"/>
      <c r="K128" s="5" t="n"/>
      <c r="L128" s="5" t="n"/>
      <c r="M128" s="5" t="n"/>
      <c r="N128" s="4" t="n"/>
      <c r="O128" s="4" t="n"/>
      <c r="P128" s="20" t="n"/>
      <c r="Q128" s="30" t="n"/>
      <c r="R128" s="21">
        <f>IF($A128="","",ROUND(P128*Q128,2))</f>
        <v/>
      </c>
      <c r="S128" s="5" t="n"/>
      <c r="T128" s="4" t="n"/>
      <c r="U128" s="5" t="n"/>
      <c r="V128" s="21">
        <f>IF($A128="","",ROUND(P128-R128,2))</f>
        <v/>
      </c>
      <c r="W128" s="5" t="n"/>
      <c r="X128" s="4" t="n"/>
      <c r="Y128" s="5" t="n"/>
      <c r="Z128" s="21">
        <f>IF($A128="","",IF(T128="Pagado",N(R128),0)+IF(X128="Pagado",N(V128),0))</f>
        <v/>
      </c>
      <c r="AA128" s="21">
        <f>IF($A128="","",ROUND(N(P128)-N(Z128),2))</f>
        <v/>
      </c>
      <c r="AB128" s="21">
        <f>IF($A128="","",SUMIF('OTROS COMPONENTES'!$A$4:$A$200,$A128,'OTROS COMPONENTES'!$D$4:$D$200))</f>
        <v/>
      </c>
      <c r="AC128" s="21">
        <f>IF($A128="","",SUMIF('OTROS COMPONENTES'!$A$4:$A$200,$A128,'OTROS COMPONENTES'!$E$4:$E$200))</f>
        <v/>
      </c>
      <c r="AD128" s="21">
        <f>IF($A128="","",ROUND(N(AB128)-N(AC128),2))</f>
        <v/>
      </c>
      <c r="AE128" s="21">
        <f>IF($A128="","",ROUND(N(P128)+N(AB128),2))</f>
        <v/>
      </c>
      <c r="AF128" s="21">
        <f>IF($A128="","",ROUND(N(Z128)+N(AC128),2))</f>
        <v/>
      </c>
      <c r="AG128" s="21">
        <f>IF($A128="","",ROUND(N(AA128)+N(AD128),2))</f>
        <v/>
      </c>
      <c r="AH128" s="9">
        <f>IF($A128="","",IF(OR($H128="Por confirmar",$H128="Cerrado"),"No","Sí"))</f>
        <v/>
      </c>
      <c r="AI128" s="21">
        <f>IF($A128="","",IF(AH128="No",0,IF(RESUMEN!$B$4="Saldo por pagar al fabricante",AA128,IF(RESUMEN!$B$4="Monto completo del pedido",P128,IF(OR($H128="Embarcando",$H128="Embarcado"),N(AA128),N(P128))))))</f>
        <v/>
      </c>
      <c r="AJ128" s="9">
        <f>IF($A128="","",IF(COUNTIF($A$4:$A$200,$A128)&gt;1,"ID_Pedido repetido",IF(N($P128)&lt;=0,"Falta el costo del fabricante",IF($F128="","Falta el proyecto",IF($G128="","Falta el cliente",IF(AND($H128&lt;&gt;"Por confirmar",N($R128)&gt;0,$T128=""),"Falta el estado del anticipo",IF(AND($H128&lt;&gt;"Por confirmar",N($V128)&gt;0,$X128=""),"Falta el estado del balance",IF($E128&gt;1,""&amp;$E128&amp;" equipos en una fila: pártela en una por proyecto",IF(AND($X128="Pendiente",N($V128)&gt;0,$W128=""),"Falta la fecha en que vence el balance",IF(AND($H128&lt;&gt;"Por confirmar",$H128&lt;&gt;"Cerrado",$AI128=0),"Consume 0 de cupo pero no está Por confirmar",""))))))))))</f>
        <v/>
      </c>
      <c r="AK128" s="4" t="n"/>
    </row>
    <row r="129">
      <c r="A129" s="4" t="n"/>
      <c r="B129" s="4" t="n"/>
      <c r="C129" s="4" t="n"/>
      <c r="D129" s="4" t="n"/>
      <c r="E129" s="4" t="n"/>
      <c r="F129" s="4" t="n"/>
      <c r="G129" s="4" t="n"/>
      <c r="H129" s="4" t="n"/>
      <c r="I129" s="5" t="n"/>
      <c r="J129" s="5" t="n"/>
      <c r="K129" s="5" t="n"/>
      <c r="L129" s="5" t="n"/>
      <c r="M129" s="5" t="n"/>
      <c r="N129" s="4" t="n"/>
      <c r="O129" s="4" t="n"/>
      <c r="P129" s="20" t="n"/>
      <c r="Q129" s="30" t="n"/>
      <c r="R129" s="21">
        <f>IF($A129="","",ROUND(P129*Q129,2))</f>
        <v/>
      </c>
      <c r="S129" s="5" t="n"/>
      <c r="T129" s="4" t="n"/>
      <c r="U129" s="5" t="n"/>
      <c r="V129" s="21">
        <f>IF($A129="","",ROUND(P129-R129,2))</f>
        <v/>
      </c>
      <c r="W129" s="5" t="n"/>
      <c r="X129" s="4" t="n"/>
      <c r="Y129" s="5" t="n"/>
      <c r="Z129" s="21">
        <f>IF($A129="","",IF(T129="Pagado",N(R129),0)+IF(X129="Pagado",N(V129),0))</f>
        <v/>
      </c>
      <c r="AA129" s="21">
        <f>IF($A129="","",ROUND(N(P129)-N(Z129),2))</f>
        <v/>
      </c>
      <c r="AB129" s="21">
        <f>IF($A129="","",SUMIF('OTROS COMPONENTES'!$A$4:$A$200,$A129,'OTROS COMPONENTES'!$D$4:$D$200))</f>
        <v/>
      </c>
      <c r="AC129" s="21">
        <f>IF($A129="","",SUMIF('OTROS COMPONENTES'!$A$4:$A$200,$A129,'OTROS COMPONENTES'!$E$4:$E$200))</f>
        <v/>
      </c>
      <c r="AD129" s="21">
        <f>IF($A129="","",ROUND(N(AB129)-N(AC129),2))</f>
        <v/>
      </c>
      <c r="AE129" s="21">
        <f>IF($A129="","",ROUND(N(P129)+N(AB129),2))</f>
        <v/>
      </c>
      <c r="AF129" s="21">
        <f>IF($A129="","",ROUND(N(Z129)+N(AC129),2))</f>
        <v/>
      </c>
      <c r="AG129" s="21">
        <f>IF($A129="","",ROUND(N(AA129)+N(AD129),2))</f>
        <v/>
      </c>
      <c r="AH129" s="9">
        <f>IF($A129="","",IF(OR($H129="Por confirmar",$H129="Cerrado"),"No","Sí"))</f>
        <v/>
      </c>
      <c r="AI129" s="21">
        <f>IF($A129="","",IF(AH129="No",0,IF(RESUMEN!$B$4="Saldo por pagar al fabricante",AA129,IF(RESUMEN!$B$4="Monto completo del pedido",P129,IF(OR($H129="Embarcando",$H129="Embarcado"),N(AA129),N(P129))))))</f>
        <v/>
      </c>
      <c r="AJ129" s="9">
        <f>IF($A129="","",IF(COUNTIF($A$4:$A$200,$A129)&gt;1,"ID_Pedido repetido",IF(N($P129)&lt;=0,"Falta el costo del fabricante",IF($F129="","Falta el proyecto",IF($G129="","Falta el cliente",IF(AND($H129&lt;&gt;"Por confirmar",N($R129)&gt;0,$T129=""),"Falta el estado del anticipo",IF(AND($H129&lt;&gt;"Por confirmar",N($V129)&gt;0,$X129=""),"Falta el estado del balance",IF($E129&gt;1,""&amp;$E129&amp;" equipos en una fila: pártela en una por proyecto",IF(AND($X129="Pendiente",N($V129)&gt;0,$W129=""),"Falta la fecha en que vence el balance",IF(AND($H129&lt;&gt;"Por confirmar",$H129&lt;&gt;"Cerrado",$AI129=0),"Consume 0 de cupo pero no está Por confirmar",""))))))))))</f>
        <v/>
      </c>
      <c r="AK129" s="4" t="n"/>
    </row>
    <row r="130">
      <c r="A130" s="4" t="n"/>
      <c r="B130" s="4" t="n"/>
      <c r="C130" s="4" t="n"/>
      <c r="D130" s="4" t="n"/>
      <c r="E130" s="4" t="n"/>
      <c r="F130" s="4" t="n"/>
      <c r="G130" s="4" t="n"/>
      <c r="H130" s="4" t="n"/>
      <c r="I130" s="5" t="n"/>
      <c r="J130" s="5" t="n"/>
      <c r="K130" s="5" t="n"/>
      <c r="L130" s="5" t="n"/>
      <c r="M130" s="5" t="n"/>
      <c r="N130" s="4" t="n"/>
      <c r="O130" s="4" t="n"/>
      <c r="P130" s="20" t="n"/>
      <c r="Q130" s="30" t="n"/>
      <c r="R130" s="21">
        <f>IF($A130="","",ROUND(P130*Q130,2))</f>
        <v/>
      </c>
      <c r="S130" s="5" t="n"/>
      <c r="T130" s="4" t="n"/>
      <c r="U130" s="5" t="n"/>
      <c r="V130" s="21">
        <f>IF($A130="","",ROUND(P130-R130,2))</f>
        <v/>
      </c>
      <c r="W130" s="5" t="n"/>
      <c r="X130" s="4" t="n"/>
      <c r="Y130" s="5" t="n"/>
      <c r="Z130" s="21">
        <f>IF($A130="","",IF(T130="Pagado",N(R130),0)+IF(X130="Pagado",N(V130),0))</f>
        <v/>
      </c>
      <c r="AA130" s="21">
        <f>IF($A130="","",ROUND(N(P130)-N(Z130),2))</f>
        <v/>
      </c>
      <c r="AB130" s="21">
        <f>IF($A130="","",SUMIF('OTROS COMPONENTES'!$A$4:$A$200,$A130,'OTROS COMPONENTES'!$D$4:$D$200))</f>
        <v/>
      </c>
      <c r="AC130" s="21">
        <f>IF($A130="","",SUMIF('OTROS COMPONENTES'!$A$4:$A$200,$A130,'OTROS COMPONENTES'!$E$4:$E$200))</f>
        <v/>
      </c>
      <c r="AD130" s="21">
        <f>IF($A130="","",ROUND(N(AB130)-N(AC130),2))</f>
        <v/>
      </c>
      <c r="AE130" s="21">
        <f>IF($A130="","",ROUND(N(P130)+N(AB130),2))</f>
        <v/>
      </c>
      <c r="AF130" s="21">
        <f>IF($A130="","",ROUND(N(Z130)+N(AC130),2))</f>
        <v/>
      </c>
      <c r="AG130" s="21">
        <f>IF($A130="","",ROUND(N(AA130)+N(AD130),2))</f>
        <v/>
      </c>
      <c r="AH130" s="9">
        <f>IF($A130="","",IF(OR($H130="Por confirmar",$H130="Cerrado"),"No","Sí"))</f>
        <v/>
      </c>
      <c r="AI130" s="21">
        <f>IF($A130="","",IF(AH130="No",0,IF(RESUMEN!$B$4="Saldo por pagar al fabricante",AA130,IF(RESUMEN!$B$4="Monto completo del pedido",P130,IF(OR($H130="Embarcando",$H130="Embarcado"),N(AA130),N(P130))))))</f>
        <v/>
      </c>
      <c r="AJ130" s="9">
        <f>IF($A130="","",IF(COUNTIF($A$4:$A$200,$A130)&gt;1,"ID_Pedido repetido",IF(N($P130)&lt;=0,"Falta el costo del fabricante",IF($F130="","Falta el proyecto",IF($G130="","Falta el cliente",IF(AND($H130&lt;&gt;"Por confirmar",N($R130)&gt;0,$T130=""),"Falta el estado del anticipo",IF(AND($H130&lt;&gt;"Por confirmar",N($V130)&gt;0,$X130=""),"Falta el estado del balance",IF($E130&gt;1,""&amp;$E130&amp;" equipos en una fila: pártela en una por proyecto",IF(AND($X130="Pendiente",N($V130)&gt;0,$W130=""),"Falta la fecha en que vence el balance",IF(AND($H130&lt;&gt;"Por confirmar",$H130&lt;&gt;"Cerrado",$AI130=0),"Consume 0 de cupo pero no está Por confirmar",""))))))))))</f>
        <v/>
      </c>
      <c r="AK130" s="4" t="n"/>
    </row>
    <row r="131">
      <c r="A131" s="4" t="n"/>
      <c r="B131" s="4" t="n"/>
      <c r="C131" s="4" t="n"/>
      <c r="D131" s="4" t="n"/>
      <c r="E131" s="4" t="n"/>
      <c r="F131" s="4" t="n"/>
      <c r="G131" s="4" t="n"/>
      <c r="H131" s="4" t="n"/>
      <c r="I131" s="5" t="n"/>
      <c r="J131" s="5" t="n"/>
      <c r="K131" s="5" t="n"/>
      <c r="L131" s="5" t="n"/>
      <c r="M131" s="5" t="n"/>
      <c r="N131" s="4" t="n"/>
      <c r="O131" s="4" t="n"/>
      <c r="P131" s="20" t="n"/>
      <c r="Q131" s="30" t="n"/>
      <c r="R131" s="21">
        <f>IF($A131="","",ROUND(P131*Q131,2))</f>
        <v/>
      </c>
      <c r="S131" s="5" t="n"/>
      <c r="T131" s="4" t="n"/>
      <c r="U131" s="5" t="n"/>
      <c r="V131" s="21">
        <f>IF($A131="","",ROUND(P131-R131,2))</f>
        <v/>
      </c>
      <c r="W131" s="5" t="n"/>
      <c r="X131" s="4" t="n"/>
      <c r="Y131" s="5" t="n"/>
      <c r="Z131" s="21">
        <f>IF($A131="","",IF(T131="Pagado",N(R131),0)+IF(X131="Pagado",N(V131),0))</f>
        <v/>
      </c>
      <c r="AA131" s="21">
        <f>IF($A131="","",ROUND(N(P131)-N(Z131),2))</f>
        <v/>
      </c>
      <c r="AB131" s="21">
        <f>IF($A131="","",SUMIF('OTROS COMPONENTES'!$A$4:$A$200,$A131,'OTROS COMPONENTES'!$D$4:$D$200))</f>
        <v/>
      </c>
      <c r="AC131" s="21">
        <f>IF($A131="","",SUMIF('OTROS COMPONENTES'!$A$4:$A$200,$A131,'OTROS COMPONENTES'!$E$4:$E$200))</f>
        <v/>
      </c>
      <c r="AD131" s="21">
        <f>IF($A131="","",ROUND(N(AB131)-N(AC131),2))</f>
        <v/>
      </c>
      <c r="AE131" s="21">
        <f>IF($A131="","",ROUND(N(P131)+N(AB131),2))</f>
        <v/>
      </c>
      <c r="AF131" s="21">
        <f>IF($A131="","",ROUND(N(Z131)+N(AC131),2))</f>
        <v/>
      </c>
      <c r="AG131" s="21">
        <f>IF($A131="","",ROUND(N(AA131)+N(AD131),2))</f>
        <v/>
      </c>
      <c r="AH131" s="9">
        <f>IF($A131="","",IF(OR($H131="Por confirmar",$H131="Cerrado"),"No","Sí"))</f>
        <v/>
      </c>
      <c r="AI131" s="21">
        <f>IF($A131="","",IF(AH131="No",0,IF(RESUMEN!$B$4="Saldo por pagar al fabricante",AA131,IF(RESUMEN!$B$4="Monto completo del pedido",P131,IF(OR($H131="Embarcando",$H131="Embarcado"),N(AA131),N(P131))))))</f>
        <v/>
      </c>
      <c r="AJ131" s="9">
        <f>IF($A131="","",IF(COUNTIF($A$4:$A$200,$A131)&gt;1,"ID_Pedido repetido",IF(N($P131)&lt;=0,"Falta el costo del fabricante",IF($F131="","Falta el proyecto",IF($G131="","Falta el cliente",IF(AND($H131&lt;&gt;"Por confirmar",N($R131)&gt;0,$T131=""),"Falta el estado del anticipo",IF(AND($H131&lt;&gt;"Por confirmar",N($V131)&gt;0,$X131=""),"Falta el estado del balance",IF($E131&gt;1,""&amp;$E131&amp;" equipos en una fila: pártela en una por proyecto",IF(AND($X131="Pendiente",N($V131)&gt;0,$W131=""),"Falta la fecha en que vence el balance",IF(AND($H131&lt;&gt;"Por confirmar",$H131&lt;&gt;"Cerrado",$AI131=0),"Consume 0 de cupo pero no está Por confirmar",""))))))))))</f>
        <v/>
      </c>
      <c r="AK131" s="4" t="n"/>
    </row>
    <row r="132">
      <c r="A132" s="4" t="n"/>
      <c r="B132" s="4" t="n"/>
      <c r="C132" s="4" t="n"/>
      <c r="D132" s="4" t="n"/>
      <c r="E132" s="4" t="n"/>
      <c r="F132" s="4" t="n"/>
      <c r="G132" s="4" t="n"/>
      <c r="H132" s="4" t="n"/>
      <c r="I132" s="5" t="n"/>
      <c r="J132" s="5" t="n"/>
      <c r="K132" s="5" t="n"/>
      <c r="L132" s="5" t="n"/>
      <c r="M132" s="5" t="n"/>
      <c r="N132" s="4" t="n"/>
      <c r="O132" s="4" t="n"/>
      <c r="P132" s="20" t="n"/>
      <c r="Q132" s="30" t="n"/>
      <c r="R132" s="21">
        <f>IF($A132="","",ROUND(P132*Q132,2))</f>
        <v/>
      </c>
      <c r="S132" s="5" t="n"/>
      <c r="T132" s="4" t="n"/>
      <c r="U132" s="5" t="n"/>
      <c r="V132" s="21">
        <f>IF($A132="","",ROUND(P132-R132,2))</f>
        <v/>
      </c>
      <c r="W132" s="5" t="n"/>
      <c r="X132" s="4" t="n"/>
      <c r="Y132" s="5" t="n"/>
      <c r="Z132" s="21">
        <f>IF($A132="","",IF(T132="Pagado",N(R132),0)+IF(X132="Pagado",N(V132),0))</f>
        <v/>
      </c>
      <c r="AA132" s="21">
        <f>IF($A132="","",ROUND(N(P132)-N(Z132),2))</f>
        <v/>
      </c>
      <c r="AB132" s="21">
        <f>IF($A132="","",SUMIF('OTROS COMPONENTES'!$A$4:$A$200,$A132,'OTROS COMPONENTES'!$D$4:$D$200))</f>
        <v/>
      </c>
      <c r="AC132" s="21">
        <f>IF($A132="","",SUMIF('OTROS COMPONENTES'!$A$4:$A$200,$A132,'OTROS COMPONENTES'!$E$4:$E$200))</f>
        <v/>
      </c>
      <c r="AD132" s="21">
        <f>IF($A132="","",ROUND(N(AB132)-N(AC132),2))</f>
        <v/>
      </c>
      <c r="AE132" s="21">
        <f>IF($A132="","",ROUND(N(P132)+N(AB132),2))</f>
        <v/>
      </c>
      <c r="AF132" s="21">
        <f>IF($A132="","",ROUND(N(Z132)+N(AC132),2))</f>
        <v/>
      </c>
      <c r="AG132" s="21">
        <f>IF($A132="","",ROUND(N(AA132)+N(AD132),2))</f>
        <v/>
      </c>
      <c r="AH132" s="9">
        <f>IF($A132="","",IF(OR($H132="Por confirmar",$H132="Cerrado"),"No","Sí"))</f>
        <v/>
      </c>
      <c r="AI132" s="21">
        <f>IF($A132="","",IF(AH132="No",0,IF(RESUMEN!$B$4="Saldo por pagar al fabricante",AA132,IF(RESUMEN!$B$4="Monto completo del pedido",P132,IF(OR($H132="Embarcando",$H132="Embarcado"),N(AA132),N(P132))))))</f>
        <v/>
      </c>
      <c r="AJ132" s="9">
        <f>IF($A132="","",IF(COUNTIF($A$4:$A$200,$A132)&gt;1,"ID_Pedido repetido",IF(N($P132)&lt;=0,"Falta el costo del fabricante",IF($F132="","Falta el proyecto",IF($G132="","Falta el cliente",IF(AND($H132&lt;&gt;"Por confirmar",N($R132)&gt;0,$T132=""),"Falta el estado del anticipo",IF(AND($H132&lt;&gt;"Por confirmar",N($V132)&gt;0,$X132=""),"Falta el estado del balance",IF($E132&gt;1,""&amp;$E132&amp;" equipos en una fila: pártela en una por proyecto",IF(AND($X132="Pendiente",N($V132)&gt;0,$W132=""),"Falta la fecha en que vence el balance",IF(AND($H132&lt;&gt;"Por confirmar",$H132&lt;&gt;"Cerrado",$AI132=0),"Consume 0 de cupo pero no está Por confirmar",""))))))))))</f>
        <v/>
      </c>
      <c r="AK132" s="4" t="n"/>
    </row>
    <row r="133">
      <c r="A133" s="4" t="n"/>
      <c r="B133" s="4" t="n"/>
      <c r="C133" s="4" t="n"/>
      <c r="D133" s="4" t="n"/>
      <c r="E133" s="4" t="n"/>
      <c r="F133" s="4" t="n"/>
      <c r="G133" s="4" t="n"/>
      <c r="H133" s="4" t="n"/>
      <c r="I133" s="5" t="n"/>
      <c r="J133" s="5" t="n"/>
      <c r="K133" s="5" t="n"/>
      <c r="L133" s="5" t="n"/>
      <c r="M133" s="5" t="n"/>
      <c r="N133" s="4" t="n"/>
      <c r="O133" s="4" t="n"/>
      <c r="P133" s="20" t="n"/>
      <c r="Q133" s="30" t="n"/>
      <c r="R133" s="21">
        <f>IF($A133="","",ROUND(P133*Q133,2))</f>
        <v/>
      </c>
      <c r="S133" s="5" t="n"/>
      <c r="T133" s="4" t="n"/>
      <c r="U133" s="5" t="n"/>
      <c r="V133" s="21">
        <f>IF($A133="","",ROUND(P133-R133,2))</f>
        <v/>
      </c>
      <c r="W133" s="5" t="n"/>
      <c r="X133" s="4" t="n"/>
      <c r="Y133" s="5" t="n"/>
      <c r="Z133" s="21">
        <f>IF($A133="","",IF(T133="Pagado",N(R133),0)+IF(X133="Pagado",N(V133),0))</f>
        <v/>
      </c>
      <c r="AA133" s="21">
        <f>IF($A133="","",ROUND(N(P133)-N(Z133),2))</f>
        <v/>
      </c>
      <c r="AB133" s="21">
        <f>IF($A133="","",SUMIF('OTROS COMPONENTES'!$A$4:$A$200,$A133,'OTROS COMPONENTES'!$D$4:$D$200))</f>
        <v/>
      </c>
      <c r="AC133" s="21">
        <f>IF($A133="","",SUMIF('OTROS COMPONENTES'!$A$4:$A$200,$A133,'OTROS COMPONENTES'!$E$4:$E$200))</f>
        <v/>
      </c>
      <c r="AD133" s="21">
        <f>IF($A133="","",ROUND(N(AB133)-N(AC133),2))</f>
        <v/>
      </c>
      <c r="AE133" s="21">
        <f>IF($A133="","",ROUND(N(P133)+N(AB133),2))</f>
        <v/>
      </c>
      <c r="AF133" s="21">
        <f>IF($A133="","",ROUND(N(Z133)+N(AC133),2))</f>
        <v/>
      </c>
      <c r="AG133" s="21">
        <f>IF($A133="","",ROUND(N(AA133)+N(AD133),2))</f>
        <v/>
      </c>
      <c r="AH133" s="9">
        <f>IF($A133="","",IF(OR($H133="Por confirmar",$H133="Cerrado"),"No","Sí"))</f>
        <v/>
      </c>
      <c r="AI133" s="21">
        <f>IF($A133="","",IF(AH133="No",0,IF(RESUMEN!$B$4="Saldo por pagar al fabricante",AA133,IF(RESUMEN!$B$4="Monto completo del pedido",P133,IF(OR($H133="Embarcando",$H133="Embarcado"),N(AA133),N(P133))))))</f>
        <v/>
      </c>
      <c r="AJ133" s="9">
        <f>IF($A133="","",IF(COUNTIF($A$4:$A$200,$A133)&gt;1,"ID_Pedido repetido",IF(N($P133)&lt;=0,"Falta el costo del fabricante",IF($F133="","Falta el proyecto",IF($G133="","Falta el cliente",IF(AND($H133&lt;&gt;"Por confirmar",N($R133)&gt;0,$T133=""),"Falta el estado del anticipo",IF(AND($H133&lt;&gt;"Por confirmar",N($V133)&gt;0,$X133=""),"Falta el estado del balance",IF($E133&gt;1,""&amp;$E133&amp;" equipos en una fila: pártela en una por proyecto",IF(AND($X133="Pendiente",N($V133)&gt;0,$W133=""),"Falta la fecha en que vence el balance",IF(AND($H133&lt;&gt;"Por confirmar",$H133&lt;&gt;"Cerrado",$AI133=0),"Consume 0 de cupo pero no está Por confirmar",""))))))))))</f>
        <v/>
      </c>
      <c r="AK133" s="4" t="n"/>
    </row>
    <row r="134">
      <c r="A134" s="4" t="n"/>
      <c r="B134" s="4" t="n"/>
      <c r="C134" s="4" t="n"/>
      <c r="D134" s="4" t="n"/>
      <c r="E134" s="4" t="n"/>
      <c r="F134" s="4" t="n"/>
      <c r="G134" s="4" t="n"/>
      <c r="H134" s="4" t="n"/>
      <c r="I134" s="5" t="n"/>
      <c r="J134" s="5" t="n"/>
      <c r="K134" s="5" t="n"/>
      <c r="L134" s="5" t="n"/>
      <c r="M134" s="5" t="n"/>
      <c r="N134" s="4" t="n"/>
      <c r="O134" s="4" t="n"/>
      <c r="P134" s="20" t="n"/>
      <c r="Q134" s="30" t="n"/>
      <c r="R134" s="21">
        <f>IF($A134="","",ROUND(P134*Q134,2))</f>
        <v/>
      </c>
      <c r="S134" s="5" t="n"/>
      <c r="T134" s="4" t="n"/>
      <c r="U134" s="5" t="n"/>
      <c r="V134" s="21">
        <f>IF($A134="","",ROUND(P134-R134,2))</f>
        <v/>
      </c>
      <c r="W134" s="5" t="n"/>
      <c r="X134" s="4" t="n"/>
      <c r="Y134" s="5" t="n"/>
      <c r="Z134" s="21">
        <f>IF($A134="","",IF(T134="Pagado",N(R134),0)+IF(X134="Pagado",N(V134),0))</f>
        <v/>
      </c>
      <c r="AA134" s="21">
        <f>IF($A134="","",ROUND(N(P134)-N(Z134),2))</f>
        <v/>
      </c>
      <c r="AB134" s="21">
        <f>IF($A134="","",SUMIF('OTROS COMPONENTES'!$A$4:$A$200,$A134,'OTROS COMPONENTES'!$D$4:$D$200))</f>
        <v/>
      </c>
      <c r="AC134" s="21">
        <f>IF($A134="","",SUMIF('OTROS COMPONENTES'!$A$4:$A$200,$A134,'OTROS COMPONENTES'!$E$4:$E$200))</f>
        <v/>
      </c>
      <c r="AD134" s="21">
        <f>IF($A134="","",ROUND(N(AB134)-N(AC134),2))</f>
        <v/>
      </c>
      <c r="AE134" s="21">
        <f>IF($A134="","",ROUND(N(P134)+N(AB134),2))</f>
        <v/>
      </c>
      <c r="AF134" s="21">
        <f>IF($A134="","",ROUND(N(Z134)+N(AC134),2))</f>
        <v/>
      </c>
      <c r="AG134" s="21">
        <f>IF($A134="","",ROUND(N(AA134)+N(AD134),2))</f>
        <v/>
      </c>
      <c r="AH134" s="9">
        <f>IF($A134="","",IF(OR($H134="Por confirmar",$H134="Cerrado"),"No","Sí"))</f>
        <v/>
      </c>
      <c r="AI134" s="21">
        <f>IF($A134="","",IF(AH134="No",0,IF(RESUMEN!$B$4="Saldo por pagar al fabricante",AA134,IF(RESUMEN!$B$4="Monto completo del pedido",P134,IF(OR($H134="Embarcando",$H134="Embarcado"),N(AA134),N(P134))))))</f>
        <v/>
      </c>
      <c r="AJ134" s="9">
        <f>IF($A134="","",IF(COUNTIF($A$4:$A$200,$A134)&gt;1,"ID_Pedido repetido",IF(N($P134)&lt;=0,"Falta el costo del fabricante",IF($F134="","Falta el proyecto",IF($G134="","Falta el cliente",IF(AND($H134&lt;&gt;"Por confirmar",N($R134)&gt;0,$T134=""),"Falta el estado del anticipo",IF(AND($H134&lt;&gt;"Por confirmar",N($V134)&gt;0,$X134=""),"Falta el estado del balance",IF($E134&gt;1,""&amp;$E134&amp;" equipos en una fila: pártela en una por proyecto",IF(AND($X134="Pendiente",N($V134)&gt;0,$W134=""),"Falta la fecha en que vence el balance",IF(AND($H134&lt;&gt;"Por confirmar",$H134&lt;&gt;"Cerrado",$AI134=0),"Consume 0 de cupo pero no está Por confirmar",""))))))))))</f>
        <v/>
      </c>
      <c r="AK134" s="4" t="n"/>
    </row>
    <row r="135">
      <c r="A135" s="4" t="n"/>
      <c r="B135" s="4" t="n"/>
      <c r="C135" s="4" t="n"/>
      <c r="D135" s="4" t="n"/>
      <c r="E135" s="4" t="n"/>
      <c r="F135" s="4" t="n"/>
      <c r="G135" s="4" t="n"/>
      <c r="H135" s="4" t="n"/>
      <c r="I135" s="5" t="n"/>
      <c r="J135" s="5" t="n"/>
      <c r="K135" s="5" t="n"/>
      <c r="L135" s="5" t="n"/>
      <c r="M135" s="5" t="n"/>
      <c r="N135" s="4" t="n"/>
      <c r="O135" s="4" t="n"/>
      <c r="P135" s="20" t="n"/>
      <c r="Q135" s="30" t="n"/>
      <c r="R135" s="21">
        <f>IF($A135="","",ROUND(P135*Q135,2))</f>
        <v/>
      </c>
      <c r="S135" s="5" t="n"/>
      <c r="T135" s="4" t="n"/>
      <c r="U135" s="5" t="n"/>
      <c r="V135" s="21">
        <f>IF($A135="","",ROUND(P135-R135,2))</f>
        <v/>
      </c>
      <c r="W135" s="5" t="n"/>
      <c r="X135" s="4" t="n"/>
      <c r="Y135" s="5" t="n"/>
      <c r="Z135" s="21">
        <f>IF($A135="","",IF(T135="Pagado",N(R135),0)+IF(X135="Pagado",N(V135),0))</f>
        <v/>
      </c>
      <c r="AA135" s="21">
        <f>IF($A135="","",ROUND(N(P135)-N(Z135),2))</f>
        <v/>
      </c>
      <c r="AB135" s="21">
        <f>IF($A135="","",SUMIF('OTROS COMPONENTES'!$A$4:$A$200,$A135,'OTROS COMPONENTES'!$D$4:$D$200))</f>
        <v/>
      </c>
      <c r="AC135" s="21">
        <f>IF($A135="","",SUMIF('OTROS COMPONENTES'!$A$4:$A$200,$A135,'OTROS COMPONENTES'!$E$4:$E$200))</f>
        <v/>
      </c>
      <c r="AD135" s="21">
        <f>IF($A135="","",ROUND(N(AB135)-N(AC135),2))</f>
        <v/>
      </c>
      <c r="AE135" s="21">
        <f>IF($A135="","",ROUND(N(P135)+N(AB135),2))</f>
        <v/>
      </c>
      <c r="AF135" s="21">
        <f>IF($A135="","",ROUND(N(Z135)+N(AC135),2))</f>
        <v/>
      </c>
      <c r="AG135" s="21">
        <f>IF($A135="","",ROUND(N(AA135)+N(AD135),2))</f>
        <v/>
      </c>
      <c r="AH135" s="9">
        <f>IF($A135="","",IF(OR($H135="Por confirmar",$H135="Cerrado"),"No","Sí"))</f>
        <v/>
      </c>
      <c r="AI135" s="21">
        <f>IF($A135="","",IF(AH135="No",0,IF(RESUMEN!$B$4="Saldo por pagar al fabricante",AA135,IF(RESUMEN!$B$4="Monto completo del pedido",P135,IF(OR($H135="Embarcando",$H135="Embarcado"),N(AA135),N(P135))))))</f>
        <v/>
      </c>
      <c r="AJ135" s="9">
        <f>IF($A135="","",IF(COUNTIF($A$4:$A$200,$A135)&gt;1,"ID_Pedido repetido",IF(N($P135)&lt;=0,"Falta el costo del fabricante",IF($F135="","Falta el proyecto",IF($G135="","Falta el cliente",IF(AND($H135&lt;&gt;"Por confirmar",N($R135)&gt;0,$T135=""),"Falta el estado del anticipo",IF(AND($H135&lt;&gt;"Por confirmar",N($V135)&gt;0,$X135=""),"Falta el estado del balance",IF($E135&gt;1,""&amp;$E135&amp;" equipos en una fila: pártela en una por proyecto",IF(AND($X135="Pendiente",N($V135)&gt;0,$W135=""),"Falta la fecha en que vence el balance",IF(AND($H135&lt;&gt;"Por confirmar",$H135&lt;&gt;"Cerrado",$AI135=0),"Consume 0 de cupo pero no está Por confirmar",""))))))))))</f>
        <v/>
      </c>
      <c r="AK135" s="4" t="n"/>
    </row>
    <row r="136">
      <c r="A136" s="4" t="n"/>
      <c r="B136" s="4" t="n"/>
      <c r="C136" s="4" t="n"/>
      <c r="D136" s="4" t="n"/>
      <c r="E136" s="4" t="n"/>
      <c r="F136" s="4" t="n"/>
      <c r="G136" s="4" t="n"/>
      <c r="H136" s="4" t="n"/>
      <c r="I136" s="5" t="n"/>
      <c r="J136" s="5" t="n"/>
      <c r="K136" s="5" t="n"/>
      <c r="L136" s="5" t="n"/>
      <c r="M136" s="5" t="n"/>
      <c r="N136" s="4" t="n"/>
      <c r="O136" s="4" t="n"/>
      <c r="P136" s="20" t="n"/>
      <c r="Q136" s="30" t="n"/>
      <c r="R136" s="21">
        <f>IF($A136="","",ROUND(P136*Q136,2))</f>
        <v/>
      </c>
      <c r="S136" s="5" t="n"/>
      <c r="T136" s="4" t="n"/>
      <c r="U136" s="5" t="n"/>
      <c r="V136" s="21">
        <f>IF($A136="","",ROUND(P136-R136,2))</f>
        <v/>
      </c>
      <c r="W136" s="5" t="n"/>
      <c r="X136" s="4" t="n"/>
      <c r="Y136" s="5" t="n"/>
      <c r="Z136" s="21">
        <f>IF($A136="","",IF(T136="Pagado",N(R136),0)+IF(X136="Pagado",N(V136),0))</f>
        <v/>
      </c>
      <c r="AA136" s="21">
        <f>IF($A136="","",ROUND(N(P136)-N(Z136),2))</f>
        <v/>
      </c>
      <c r="AB136" s="21">
        <f>IF($A136="","",SUMIF('OTROS COMPONENTES'!$A$4:$A$200,$A136,'OTROS COMPONENTES'!$D$4:$D$200))</f>
        <v/>
      </c>
      <c r="AC136" s="21">
        <f>IF($A136="","",SUMIF('OTROS COMPONENTES'!$A$4:$A$200,$A136,'OTROS COMPONENTES'!$E$4:$E$200))</f>
        <v/>
      </c>
      <c r="AD136" s="21">
        <f>IF($A136="","",ROUND(N(AB136)-N(AC136),2))</f>
        <v/>
      </c>
      <c r="AE136" s="21">
        <f>IF($A136="","",ROUND(N(P136)+N(AB136),2))</f>
        <v/>
      </c>
      <c r="AF136" s="21">
        <f>IF($A136="","",ROUND(N(Z136)+N(AC136),2))</f>
        <v/>
      </c>
      <c r="AG136" s="21">
        <f>IF($A136="","",ROUND(N(AA136)+N(AD136),2))</f>
        <v/>
      </c>
      <c r="AH136" s="9">
        <f>IF($A136="","",IF(OR($H136="Por confirmar",$H136="Cerrado"),"No","Sí"))</f>
        <v/>
      </c>
      <c r="AI136" s="21">
        <f>IF($A136="","",IF(AH136="No",0,IF(RESUMEN!$B$4="Saldo por pagar al fabricante",AA136,IF(RESUMEN!$B$4="Monto completo del pedido",P136,IF(OR($H136="Embarcando",$H136="Embarcado"),N(AA136),N(P136))))))</f>
        <v/>
      </c>
      <c r="AJ136" s="9">
        <f>IF($A136="","",IF(COUNTIF($A$4:$A$200,$A136)&gt;1,"ID_Pedido repetido",IF(N($P136)&lt;=0,"Falta el costo del fabricante",IF($F136="","Falta el proyecto",IF($G136="","Falta el cliente",IF(AND($H136&lt;&gt;"Por confirmar",N($R136)&gt;0,$T136=""),"Falta el estado del anticipo",IF(AND($H136&lt;&gt;"Por confirmar",N($V136)&gt;0,$X136=""),"Falta el estado del balance",IF($E136&gt;1,""&amp;$E136&amp;" equipos en una fila: pártela en una por proyecto",IF(AND($X136="Pendiente",N($V136)&gt;0,$W136=""),"Falta la fecha en que vence el balance",IF(AND($H136&lt;&gt;"Por confirmar",$H136&lt;&gt;"Cerrado",$AI136=0),"Consume 0 de cupo pero no está Por confirmar",""))))))))))</f>
        <v/>
      </c>
      <c r="AK136" s="4" t="n"/>
    </row>
    <row r="137">
      <c r="A137" s="4" t="n"/>
      <c r="B137" s="4" t="n"/>
      <c r="C137" s="4" t="n"/>
      <c r="D137" s="4" t="n"/>
      <c r="E137" s="4" t="n"/>
      <c r="F137" s="4" t="n"/>
      <c r="G137" s="4" t="n"/>
      <c r="H137" s="4" t="n"/>
      <c r="I137" s="5" t="n"/>
      <c r="J137" s="5" t="n"/>
      <c r="K137" s="5" t="n"/>
      <c r="L137" s="5" t="n"/>
      <c r="M137" s="5" t="n"/>
      <c r="N137" s="4" t="n"/>
      <c r="O137" s="4" t="n"/>
      <c r="P137" s="20" t="n"/>
      <c r="Q137" s="30" t="n"/>
      <c r="R137" s="21">
        <f>IF($A137="","",ROUND(P137*Q137,2))</f>
        <v/>
      </c>
      <c r="S137" s="5" t="n"/>
      <c r="T137" s="4" t="n"/>
      <c r="U137" s="5" t="n"/>
      <c r="V137" s="21">
        <f>IF($A137="","",ROUND(P137-R137,2))</f>
        <v/>
      </c>
      <c r="W137" s="5" t="n"/>
      <c r="X137" s="4" t="n"/>
      <c r="Y137" s="5" t="n"/>
      <c r="Z137" s="21">
        <f>IF($A137="","",IF(T137="Pagado",N(R137),0)+IF(X137="Pagado",N(V137),0))</f>
        <v/>
      </c>
      <c r="AA137" s="21">
        <f>IF($A137="","",ROUND(N(P137)-N(Z137),2))</f>
        <v/>
      </c>
      <c r="AB137" s="21">
        <f>IF($A137="","",SUMIF('OTROS COMPONENTES'!$A$4:$A$200,$A137,'OTROS COMPONENTES'!$D$4:$D$200))</f>
        <v/>
      </c>
      <c r="AC137" s="21">
        <f>IF($A137="","",SUMIF('OTROS COMPONENTES'!$A$4:$A$200,$A137,'OTROS COMPONENTES'!$E$4:$E$200))</f>
        <v/>
      </c>
      <c r="AD137" s="21">
        <f>IF($A137="","",ROUND(N(AB137)-N(AC137),2))</f>
        <v/>
      </c>
      <c r="AE137" s="21">
        <f>IF($A137="","",ROUND(N(P137)+N(AB137),2))</f>
        <v/>
      </c>
      <c r="AF137" s="21">
        <f>IF($A137="","",ROUND(N(Z137)+N(AC137),2))</f>
        <v/>
      </c>
      <c r="AG137" s="21">
        <f>IF($A137="","",ROUND(N(AA137)+N(AD137),2))</f>
        <v/>
      </c>
      <c r="AH137" s="9">
        <f>IF($A137="","",IF(OR($H137="Por confirmar",$H137="Cerrado"),"No","Sí"))</f>
        <v/>
      </c>
      <c r="AI137" s="21">
        <f>IF($A137="","",IF(AH137="No",0,IF(RESUMEN!$B$4="Saldo por pagar al fabricante",AA137,IF(RESUMEN!$B$4="Monto completo del pedido",P137,IF(OR($H137="Embarcando",$H137="Embarcado"),N(AA137),N(P137))))))</f>
        <v/>
      </c>
      <c r="AJ137" s="9">
        <f>IF($A137="","",IF(COUNTIF($A$4:$A$200,$A137)&gt;1,"ID_Pedido repetido",IF(N($P137)&lt;=0,"Falta el costo del fabricante",IF($F137="","Falta el proyecto",IF($G137="","Falta el cliente",IF(AND($H137&lt;&gt;"Por confirmar",N($R137)&gt;0,$T137=""),"Falta el estado del anticipo",IF(AND($H137&lt;&gt;"Por confirmar",N($V137)&gt;0,$X137=""),"Falta el estado del balance",IF($E137&gt;1,""&amp;$E137&amp;" equipos en una fila: pártela en una por proyecto",IF(AND($X137="Pendiente",N($V137)&gt;0,$W137=""),"Falta la fecha en que vence el balance",IF(AND($H137&lt;&gt;"Por confirmar",$H137&lt;&gt;"Cerrado",$AI137=0),"Consume 0 de cupo pero no está Por confirmar",""))))))))))</f>
        <v/>
      </c>
      <c r="AK137" s="4" t="n"/>
    </row>
    <row r="138">
      <c r="A138" s="4" t="n"/>
      <c r="B138" s="4" t="n"/>
      <c r="C138" s="4" t="n"/>
      <c r="D138" s="4" t="n"/>
      <c r="E138" s="4" t="n"/>
      <c r="F138" s="4" t="n"/>
      <c r="G138" s="4" t="n"/>
      <c r="H138" s="4" t="n"/>
      <c r="I138" s="5" t="n"/>
      <c r="J138" s="5" t="n"/>
      <c r="K138" s="5" t="n"/>
      <c r="L138" s="5" t="n"/>
      <c r="M138" s="5" t="n"/>
      <c r="N138" s="4" t="n"/>
      <c r="O138" s="4" t="n"/>
      <c r="P138" s="20" t="n"/>
      <c r="Q138" s="30" t="n"/>
      <c r="R138" s="21">
        <f>IF($A138="","",ROUND(P138*Q138,2))</f>
        <v/>
      </c>
      <c r="S138" s="5" t="n"/>
      <c r="T138" s="4" t="n"/>
      <c r="U138" s="5" t="n"/>
      <c r="V138" s="21">
        <f>IF($A138="","",ROUND(P138-R138,2))</f>
        <v/>
      </c>
      <c r="W138" s="5" t="n"/>
      <c r="X138" s="4" t="n"/>
      <c r="Y138" s="5" t="n"/>
      <c r="Z138" s="21">
        <f>IF($A138="","",IF(T138="Pagado",N(R138),0)+IF(X138="Pagado",N(V138),0))</f>
        <v/>
      </c>
      <c r="AA138" s="21">
        <f>IF($A138="","",ROUND(N(P138)-N(Z138),2))</f>
        <v/>
      </c>
      <c r="AB138" s="21">
        <f>IF($A138="","",SUMIF('OTROS COMPONENTES'!$A$4:$A$200,$A138,'OTROS COMPONENTES'!$D$4:$D$200))</f>
        <v/>
      </c>
      <c r="AC138" s="21">
        <f>IF($A138="","",SUMIF('OTROS COMPONENTES'!$A$4:$A$200,$A138,'OTROS COMPONENTES'!$E$4:$E$200))</f>
        <v/>
      </c>
      <c r="AD138" s="21">
        <f>IF($A138="","",ROUND(N(AB138)-N(AC138),2))</f>
        <v/>
      </c>
      <c r="AE138" s="21">
        <f>IF($A138="","",ROUND(N(P138)+N(AB138),2))</f>
        <v/>
      </c>
      <c r="AF138" s="21">
        <f>IF($A138="","",ROUND(N(Z138)+N(AC138),2))</f>
        <v/>
      </c>
      <c r="AG138" s="21">
        <f>IF($A138="","",ROUND(N(AA138)+N(AD138),2))</f>
        <v/>
      </c>
      <c r="AH138" s="9">
        <f>IF($A138="","",IF(OR($H138="Por confirmar",$H138="Cerrado"),"No","Sí"))</f>
        <v/>
      </c>
      <c r="AI138" s="21">
        <f>IF($A138="","",IF(AH138="No",0,IF(RESUMEN!$B$4="Saldo por pagar al fabricante",AA138,IF(RESUMEN!$B$4="Monto completo del pedido",P138,IF(OR($H138="Embarcando",$H138="Embarcado"),N(AA138),N(P138))))))</f>
        <v/>
      </c>
      <c r="AJ138" s="9">
        <f>IF($A138="","",IF(COUNTIF($A$4:$A$200,$A138)&gt;1,"ID_Pedido repetido",IF(N($P138)&lt;=0,"Falta el costo del fabricante",IF($F138="","Falta el proyecto",IF($G138="","Falta el cliente",IF(AND($H138&lt;&gt;"Por confirmar",N($R138)&gt;0,$T138=""),"Falta el estado del anticipo",IF(AND($H138&lt;&gt;"Por confirmar",N($V138)&gt;0,$X138=""),"Falta el estado del balance",IF($E138&gt;1,""&amp;$E138&amp;" equipos en una fila: pártela en una por proyecto",IF(AND($X138="Pendiente",N($V138)&gt;0,$W138=""),"Falta la fecha en que vence el balance",IF(AND($H138&lt;&gt;"Por confirmar",$H138&lt;&gt;"Cerrado",$AI138=0),"Consume 0 de cupo pero no está Por confirmar",""))))))))))</f>
        <v/>
      </c>
      <c r="AK138" s="4" t="n"/>
    </row>
    <row r="139">
      <c r="A139" s="4" t="n"/>
      <c r="B139" s="4" t="n"/>
      <c r="C139" s="4" t="n"/>
      <c r="D139" s="4" t="n"/>
      <c r="E139" s="4" t="n"/>
      <c r="F139" s="4" t="n"/>
      <c r="G139" s="4" t="n"/>
      <c r="H139" s="4" t="n"/>
      <c r="I139" s="5" t="n"/>
      <c r="J139" s="5" t="n"/>
      <c r="K139" s="5" t="n"/>
      <c r="L139" s="5" t="n"/>
      <c r="M139" s="5" t="n"/>
      <c r="N139" s="4" t="n"/>
      <c r="O139" s="4" t="n"/>
      <c r="P139" s="20" t="n"/>
      <c r="Q139" s="30" t="n"/>
      <c r="R139" s="21">
        <f>IF($A139="","",ROUND(P139*Q139,2))</f>
        <v/>
      </c>
      <c r="S139" s="5" t="n"/>
      <c r="T139" s="4" t="n"/>
      <c r="U139" s="5" t="n"/>
      <c r="V139" s="21">
        <f>IF($A139="","",ROUND(P139-R139,2))</f>
        <v/>
      </c>
      <c r="W139" s="5" t="n"/>
      <c r="X139" s="4" t="n"/>
      <c r="Y139" s="5" t="n"/>
      <c r="Z139" s="21">
        <f>IF($A139="","",IF(T139="Pagado",N(R139),0)+IF(X139="Pagado",N(V139),0))</f>
        <v/>
      </c>
      <c r="AA139" s="21">
        <f>IF($A139="","",ROUND(N(P139)-N(Z139),2))</f>
        <v/>
      </c>
      <c r="AB139" s="21">
        <f>IF($A139="","",SUMIF('OTROS COMPONENTES'!$A$4:$A$200,$A139,'OTROS COMPONENTES'!$D$4:$D$200))</f>
        <v/>
      </c>
      <c r="AC139" s="21">
        <f>IF($A139="","",SUMIF('OTROS COMPONENTES'!$A$4:$A$200,$A139,'OTROS COMPONENTES'!$E$4:$E$200))</f>
        <v/>
      </c>
      <c r="AD139" s="21">
        <f>IF($A139="","",ROUND(N(AB139)-N(AC139),2))</f>
        <v/>
      </c>
      <c r="AE139" s="21">
        <f>IF($A139="","",ROUND(N(P139)+N(AB139),2))</f>
        <v/>
      </c>
      <c r="AF139" s="21">
        <f>IF($A139="","",ROUND(N(Z139)+N(AC139),2))</f>
        <v/>
      </c>
      <c r="AG139" s="21">
        <f>IF($A139="","",ROUND(N(AA139)+N(AD139),2))</f>
        <v/>
      </c>
      <c r="AH139" s="9">
        <f>IF($A139="","",IF(OR($H139="Por confirmar",$H139="Cerrado"),"No","Sí"))</f>
        <v/>
      </c>
      <c r="AI139" s="21">
        <f>IF($A139="","",IF(AH139="No",0,IF(RESUMEN!$B$4="Saldo por pagar al fabricante",AA139,IF(RESUMEN!$B$4="Monto completo del pedido",P139,IF(OR($H139="Embarcando",$H139="Embarcado"),N(AA139),N(P139))))))</f>
        <v/>
      </c>
      <c r="AJ139" s="9">
        <f>IF($A139="","",IF(COUNTIF($A$4:$A$200,$A139)&gt;1,"ID_Pedido repetido",IF(N($P139)&lt;=0,"Falta el costo del fabricante",IF($F139="","Falta el proyecto",IF($G139="","Falta el cliente",IF(AND($H139&lt;&gt;"Por confirmar",N($R139)&gt;0,$T139=""),"Falta el estado del anticipo",IF(AND($H139&lt;&gt;"Por confirmar",N($V139)&gt;0,$X139=""),"Falta el estado del balance",IF($E139&gt;1,""&amp;$E139&amp;" equipos en una fila: pártela en una por proyecto",IF(AND($X139="Pendiente",N($V139)&gt;0,$W139=""),"Falta la fecha en que vence el balance",IF(AND($H139&lt;&gt;"Por confirmar",$H139&lt;&gt;"Cerrado",$AI139=0),"Consume 0 de cupo pero no está Por confirmar",""))))))))))</f>
        <v/>
      </c>
      <c r="AK139" s="4" t="n"/>
    </row>
    <row r="140">
      <c r="A140" s="4" t="n"/>
      <c r="B140" s="4" t="n"/>
      <c r="C140" s="4" t="n"/>
      <c r="D140" s="4" t="n"/>
      <c r="E140" s="4" t="n"/>
      <c r="F140" s="4" t="n"/>
      <c r="G140" s="4" t="n"/>
      <c r="H140" s="4" t="n"/>
      <c r="I140" s="5" t="n"/>
      <c r="J140" s="5" t="n"/>
      <c r="K140" s="5" t="n"/>
      <c r="L140" s="5" t="n"/>
      <c r="M140" s="5" t="n"/>
      <c r="N140" s="4" t="n"/>
      <c r="O140" s="4" t="n"/>
      <c r="P140" s="20" t="n"/>
      <c r="Q140" s="30" t="n"/>
      <c r="R140" s="21">
        <f>IF($A140="","",ROUND(P140*Q140,2))</f>
        <v/>
      </c>
      <c r="S140" s="5" t="n"/>
      <c r="T140" s="4" t="n"/>
      <c r="U140" s="5" t="n"/>
      <c r="V140" s="21">
        <f>IF($A140="","",ROUND(P140-R140,2))</f>
        <v/>
      </c>
      <c r="W140" s="5" t="n"/>
      <c r="X140" s="4" t="n"/>
      <c r="Y140" s="5" t="n"/>
      <c r="Z140" s="21">
        <f>IF($A140="","",IF(T140="Pagado",N(R140),0)+IF(X140="Pagado",N(V140),0))</f>
        <v/>
      </c>
      <c r="AA140" s="21">
        <f>IF($A140="","",ROUND(N(P140)-N(Z140),2))</f>
        <v/>
      </c>
      <c r="AB140" s="21">
        <f>IF($A140="","",SUMIF('OTROS COMPONENTES'!$A$4:$A$200,$A140,'OTROS COMPONENTES'!$D$4:$D$200))</f>
        <v/>
      </c>
      <c r="AC140" s="21">
        <f>IF($A140="","",SUMIF('OTROS COMPONENTES'!$A$4:$A$200,$A140,'OTROS COMPONENTES'!$E$4:$E$200))</f>
        <v/>
      </c>
      <c r="AD140" s="21">
        <f>IF($A140="","",ROUND(N(AB140)-N(AC140),2))</f>
        <v/>
      </c>
      <c r="AE140" s="21">
        <f>IF($A140="","",ROUND(N(P140)+N(AB140),2))</f>
        <v/>
      </c>
      <c r="AF140" s="21">
        <f>IF($A140="","",ROUND(N(Z140)+N(AC140),2))</f>
        <v/>
      </c>
      <c r="AG140" s="21">
        <f>IF($A140="","",ROUND(N(AA140)+N(AD140),2))</f>
        <v/>
      </c>
      <c r="AH140" s="9">
        <f>IF($A140="","",IF(OR($H140="Por confirmar",$H140="Cerrado"),"No","Sí"))</f>
        <v/>
      </c>
      <c r="AI140" s="21">
        <f>IF($A140="","",IF(AH140="No",0,IF(RESUMEN!$B$4="Saldo por pagar al fabricante",AA140,IF(RESUMEN!$B$4="Monto completo del pedido",P140,IF(OR($H140="Embarcando",$H140="Embarcado"),N(AA140),N(P140))))))</f>
        <v/>
      </c>
      <c r="AJ140" s="9">
        <f>IF($A140="","",IF(COUNTIF($A$4:$A$200,$A140)&gt;1,"ID_Pedido repetido",IF(N($P140)&lt;=0,"Falta el costo del fabricante",IF($F140="","Falta el proyecto",IF($G140="","Falta el cliente",IF(AND($H140&lt;&gt;"Por confirmar",N($R140)&gt;0,$T140=""),"Falta el estado del anticipo",IF(AND($H140&lt;&gt;"Por confirmar",N($V140)&gt;0,$X140=""),"Falta el estado del balance",IF($E140&gt;1,""&amp;$E140&amp;" equipos en una fila: pártela en una por proyecto",IF(AND($X140="Pendiente",N($V140)&gt;0,$W140=""),"Falta la fecha en que vence el balance",IF(AND($H140&lt;&gt;"Por confirmar",$H140&lt;&gt;"Cerrado",$AI140=0),"Consume 0 de cupo pero no está Por confirmar",""))))))))))</f>
        <v/>
      </c>
      <c r="AK140" s="4" t="n"/>
    </row>
    <row r="141">
      <c r="A141" s="4" t="n"/>
      <c r="B141" s="4" t="n"/>
      <c r="C141" s="4" t="n"/>
      <c r="D141" s="4" t="n"/>
      <c r="E141" s="4" t="n"/>
      <c r="F141" s="4" t="n"/>
      <c r="G141" s="4" t="n"/>
      <c r="H141" s="4" t="n"/>
      <c r="I141" s="5" t="n"/>
      <c r="J141" s="5" t="n"/>
      <c r="K141" s="5" t="n"/>
      <c r="L141" s="5" t="n"/>
      <c r="M141" s="5" t="n"/>
      <c r="N141" s="4" t="n"/>
      <c r="O141" s="4" t="n"/>
      <c r="P141" s="20" t="n"/>
      <c r="Q141" s="30" t="n"/>
      <c r="R141" s="21">
        <f>IF($A141="","",ROUND(P141*Q141,2))</f>
        <v/>
      </c>
      <c r="S141" s="5" t="n"/>
      <c r="T141" s="4" t="n"/>
      <c r="U141" s="5" t="n"/>
      <c r="V141" s="21">
        <f>IF($A141="","",ROUND(P141-R141,2))</f>
        <v/>
      </c>
      <c r="W141" s="5" t="n"/>
      <c r="X141" s="4" t="n"/>
      <c r="Y141" s="5" t="n"/>
      <c r="Z141" s="21">
        <f>IF($A141="","",IF(T141="Pagado",N(R141),0)+IF(X141="Pagado",N(V141),0))</f>
        <v/>
      </c>
      <c r="AA141" s="21">
        <f>IF($A141="","",ROUND(N(P141)-N(Z141),2))</f>
        <v/>
      </c>
      <c r="AB141" s="21">
        <f>IF($A141="","",SUMIF('OTROS COMPONENTES'!$A$4:$A$200,$A141,'OTROS COMPONENTES'!$D$4:$D$200))</f>
        <v/>
      </c>
      <c r="AC141" s="21">
        <f>IF($A141="","",SUMIF('OTROS COMPONENTES'!$A$4:$A$200,$A141,'OTROS COMPONENTES'!$E$4:$E$200))</f>
        <v/>
      </c>
      <c r="AD141" s="21">
        <f>IF($A141="","",ROUND(N(AB141)-N(AC141),2))</f>
        <v/>
      </c>
      <c r="AE141" s="21">
        <f>IF($A141="","",ROUND(N(P141)+N(AB141),2))</f>
        <v/>
      </c>
      <c r="AF141" s="21">
        <f>IF($A141="","",ROUND(N(Z141)+N(AC141),2))</f>
        <v/>
      </c>
      <c r="AG141" s="21">
        <f>IF($A141="","",ROUND(N(AA141)+N(AD141),2))</f>
        <v/>
      </c>
      <c r="AH141" s="9">
        <f>IF($A141="","",IF(OR($H141="Por confirmar",$H141="Cerrado"),"No","Sí"))</f>
        <v/>
      </c>
      <c r="AI141" s="21">
        <f>IF($A141="","",IF(AH141="No",0,IF(RESUMEN!$B$4="Saldo por pagar al fabricante",AA141,IF(RESUMEN!$B$4="Monto completo del pedido",P141,IF(OR($H141="Embarcando",$H141="Embarcado"),N(AA141),N(P141))))))</f>
        <v/>
      </c>
      <c r="AJ141" s="9">
        <f>IF($A141="","",IF(COUNTIF($A$4:$A$200,$A141)&gt;1,"ID_Pedido repetido",IF(N($P141)&lt;=0,"Falta el costo del fabricante",IF($F141="","Falta el proyecto",IF($G141="","Falta el cliente",IF(AND($H141&lt;&gt;"Por confirmar",N($R141)&gt;0,$T141=""),"Falta el estado del anticipo",IF(AND($H141&lt;&gt;"Por confirmar",N($V141)&gt;0,$X141=""),"Falta el estado del balance",IF($E141&gt;1,""&amp;$E141&amp;" equipos en una fila: pártela en una por proyecto",IF(AND($X141="Pendiente",N($V141)&gt;0,$W141=""),"Falta la fecha en que vence el balance",IF(AND($H141&lt;&gt;"Por confirmar",$H141&lt;&gt;"Cerrado",$AI141=0),"Consume 0 de cupo pero no está Por confirmar",""))))))))))</f>
        <v/>
      </c>
      <c r="AK141" s="4" t="n"/>
    </row>
    <row r="142">
      <c r="A142" s="4" t="n"/>
      <c r="B142" s="4" t="n"/>
      <c r="C142" s="4" t="n"/>
      <c r="D142" s="4" t="n"/>
      <c r="E142" s="4" t="n"/>
      <c r="F142" s="4" t="n"/>
      <c r="G142" s="4" t="n"/>
      <c r="H142" s="4" t="n"/>
      <c r="I142" s="5" t="n"/>
      <c r="J142" s="5" t="n"/>
      <c r="K142" s="5" t="n"/>
      <c r="L142" s="5" t="n"/>
      <c r="M142" s="5" t="n"/>
      <c r="N142" s="4" t="n"/>
      <c r="O142" s="4" t="n"/>
      <c r="P142" s="20" t="n"/>
      <c r="Q142" s="30" t="n"/>
      <c r="R142" s="21">
        <f>IF($A142="","",ROUND(P142*Q142,2))</f>
        <v/>
      </c>
      <c r="S142" s="5" t="n"/>
      <c r="T142" s="4" t="n"/>
      <c r="U142" s="5" t="n"/>
      <c r="V142" s="21">
        <f>IF($A142="","",ROUND(P142-R142,2))</f>
        <v/>
      </c>
      <c r="W142" s="5" t="n"/>
      <c r="X142" s="4" t="n"/>
      <c r="Y142" s="5" t="n"/>
      <c r="Z142" s="21">
        <f>IF($A142="","",IF(T142="Pagado",N(R142),0)+IF(X142="Pagado",N(V142),0))</f>
        <v/>
      </c>
      <c r="AA142" s="21">
        <f>IF($A142="","",ROUND(N(P142)-N(Z142),2))</f>
        <v/>
      </c>
      <c r="AB142" s="21">
        <f>IF($A142="","",SUMIF('OTROS COMPONENTES'!$A$4:$A$200,$A142,'OTROS COMPONENTES'!$D$4:$D$200))</f>
        <v/>
      </c>
      <c r="AC142" s="21">
        <f>IF($A142="","",SUMIF('OTROS COMPONENTES'!$A$4:$A$200,$A142,'OTROS COMPONENTES'!$E$4:$E$200))</f>
        <v/>
      </c>
      <c r="AD142" s="21">
        <f>IF($A142="","",ROUND(N(AB142)-N(AC142),2))</f>
        <v/>
      </c>
      <c r="AE142" s="21">
        <f>IF($A142="","",ROUND(N(P142)+N(AB142),2))</f>
        <v/>
      </c>
      <c r="AF142" s="21">
        <f>IF($A142="","",ROUND(N(Z142)+N(AC142),2))</f>
        <v/>
      </c>
      <c r="AG142" s="21">
        <f>IF($A142="","",ROUND(N(AA142)+N(AD142),2))</f>
        <v/>
      </c>
      <c r="AH142" s="9">
        <f>IF($A142="","",IF(OR($H142="Por confirmar",$H142="Cerrado"),"No","Sí"))</f>
        <v/>
      </c>
      <c r="AI142" s="21">
        <f>IF($A142="","",IF(AH142="No",0,IF(RESUMEN!$B$4="Saldo por pagar al fabricante",AA142,IF(RESUMEN!$B$4="Monto completo del pedido",P142,IF(OR($H142="Embarcando",$H142="Embarcado"),N(AA142),N(P142))))))</f>
        <v/>
      </c>
      <c r="AJ142" s="9">
        <f>IF($A142="","",IF(COUNTIF($A$4:$A$200,$A142)&gt;1,"ID_Pedido repetido",IF(N($P142)&lt;=0,"Falta el costo del fabricante",IF($F142="","Falta el proyecto",IF($G142="","Falta el cliente",IF(AND($H142&lt;&gt;"Por confirmar",N($R142)&gt;0,$T142=""),"Falta el estado del anticipo",IF(AND($H142&lt;&gt;"Por confirmar",N($V142)&gt;0,$X142=""),"Falta el estado del balance",IF($E142&gt;1,""&amp;$E142&amp;" equipos en una fila: pártela en una por proyecto",IF(AND($X142="Pendiente",N($V142)&gt;0,$W142=""),"Falta la fecha en que vence el balance",IF(AND($H142&lt;&gt;"Por confirmar",$H142&lt;&gt;"Cerrado",$AI142=0),"Consume 0 de cupo pero no está Por confirmar",""))))))))))</f>
        <v/>
      </c>
      <c r="AK142" s="4" t="n"/>
    </row>
    <row r="143">
      <c r="A143" s="4" t="n"/>
      <c r="B143" s="4" t="n"/>
      <c r="C143" s="4" t="n"/>
      <c r="D143" s="4" t="n"/>
      <c r="E143" s="4" t="n"/>
      <c r="F143" s="4" t="n"/>
      <c r="G143" s="4" t="n"/>
      <c r="H143" s="4" t="n"/>
      <c r="I143" s="5" t="n"/>
      <c r="J143" s="5" t="n"/>
      <c r="K143" s="5" t="n"/>
      <c r="L143" s="5" t="n"/>
      <c r="M143" s="5" t="n"/>
      <c r="N143" s="4" t="n"/>
      <c r="O143" s="4" t="n"/>
      <c r="P143" s="20" t="n"/>
      <c r="Q143" s="30" t="n"/>
      <c r="R143" s="21">
        <f>IF($A143="","",ROUND(P143*Q143,2))</f>
        <v/>
      </c>
      <c r="S143" s="5" t="n"/>
      <c r="T143" s="4" t="n"/>
      <c r="U143" s="5" t="n"/>
      <c r="V143" s="21">
        <f>IF($A143="","",ROUND(P143-R143,2))</f>
        <v/>
      </c>
      <c r="W143" s="5" t="n"/>
      <c r="X143" s="4" t="n"/>
      <c r="Y143" s="5" t="n"/>
      <c r="Z143" s="21">
        <f>IF($A143="","",IF(T143="Pagado",N(R143),0)+IF(X143="Pagado",N(V143),0))</f>
        <v/>
      </c>
      <c r="AA143" s="21">
        <f>IF($A143="","",ROUND(N(P143)-N(Z143),2))</f>
        <v/>
      </c>
      <c r="AB143" s="21">
        <f>IF($A143="","",SUMIF('OTROS COMPONENTES'!$A$4:$A$200,$A143,'OTROS COMPONENTES'!$D$4:$D$200))</f>
        <v/>
      </c>
      <c r="AC143" s="21">
        <f>IF($A143="","",SUMIF('OTROS COMPONENTES'!$A$4:$A$200,$A143,'OTROS COMPONENTES'!$E$4:$E$200))</f>
        <v/>
      </c>
      <c r="AD143" s="21">
        <f>IF($A143="","",ROUND(N(AB143)-N(AC143),2))</f>
        <v/>
      </c>
      <c r="AE143" s="21">
        <f>IF($A143="","",ROUND(N(P143)+N(AB143),2))</f>
        <v/>
      </c>
      <c r="AF143" s="21">
        <f>IF($A143="","",ROUND(N(Z143)+N(AC143),2))</f>
        <v/>
      </c>
      <c r="AG143" s="21">
        <f>IF($A143="","",ROUND(N(AA143)+N(AD143),2))</f>
        <v/>
      </c>
      <c r="AH143" s="9">
        <f>IF($A143="","",IF(OR($H143="Por confirmar",$H143="Cerrado"),"No","Sí"))</f>
        <v/>
      </c>
      <c r="AI143" s="21">
        <f>IF($A143="","",IF(AH143="No",0,IF(RESUMEN!$B$4="Saldo por pagar al fabricante",AA143,IF(RESUMEN!$B$4="Monto completo del pedido",P143,IF(OR($H143="Embarcando",$H143="Embarcado"),N(AA143),N(P143))))))</f>
        <v/>
      </c>
      <c r="AJ143" s="9">
        <f>IF($A143="","",IF(COUNTIF($A$4:$A$200,$A143)&gt;1,"ID_Pedido repetido",IF(N($P143)&lt;=0,"Falta el costo del fabricante",IF($F143="","Falta el proyecto",IF($G143="","Falta el cliente",IF(AND($H143&lt;&gt;"Por confirmar",N($R143)&gt;0,$T143=""),"Falta el estado del anticipo",IF(AND($H143&lt;&gt;"Por confirmar",N($V143)&gt;0,$X143=""),"Falta el estado del balance",IF($E143&gt;1,""&amp;$E143&amp;" equipos en una fila: pártela en una por proyecto",IF(AND($X143="Pendiente",N($V143)&gt;0,$W143=""),"Falta la fecha en que vence el balance",IF(AND($H143&lt;&gt;"Por confirmar",$H143&lt;&gt;"Cerrado",$AI143=0),"Consume 0 de cupo pero no está Por confirmar",""))))))))))</f>
        <v/>
      </c>
      <c r="AK143" s="4" t="n"/>
    </row>
    <row r="144">
      <c r="A144" s="4" t="n"/>
      <c r="B144" s="4" t="n"/>
      <c r="C144" s="4" t="n"/>
      <c r="D144" s="4" t="n"/>
      <c r="E144" s="4" t="n"/>
      <c r="F144" s="4" t="n"/>
      <c r="G144" s="4" t="n"/>
      <c r="H144" s="4" t="n"/>
      <c r="I144" s="5" t="n"/>
      <c r="J144" s="5" t="n"/>
      <c r="K144" s="5" t="n"/>
      <c r="L144" s="5" t="n"/>
      <c r="M144" s="5" t="n"/>
      <c r="N144" s="4" t="n"/>
      <c r="O144" s="4" t="n"/>
      <c r="P144" s="20" t="n"/>
      <c r="Q144" s="30" t="n"/>
      <c r="R144" s="21">
        <f>IF($A144="","",ROUND(P144*Q144,2))</f>
        <v/>
      </c>
      <c r="S144" s="5" t="n"/>
      <c r="T144" s="4" t="n"/>
      <c r="U144" s="5" t="n"/>
      <c r="V144" s="21">
        <f>IF($A144="","",ROUND(P144-R144,2))</f>
        <v/>
      </c>
      <c r="W144" s="5" t="n"/>
      <c r="X144" s="4" t="n"/>
      <c r="Y144" s="5" t="n"/>
      <c r="Z144" s="21">
        <f>IF($A144="","",IF(T144="Pagado",N(R144),0)+IF(X144="Pagado",N(V144),0))</f>
        <v/>
      </c>
      <c r="AA144" s="21">
        <f>IF($A144="","",ROUND(N(P144)-N(Z144),2))</f>
        <v/>
      </c>
      <c r="AB144" s="21">
        <f>IF($A144="","",SUMIF('OTROS COMPONENTES'!$A$4:$A$200,$A144,'OTROS COMPONENTES'!$D$4:$D$200))</f>
        <v/>
      </c>
      <c r="AC144" s="21">
        <f>IF($A144="","",SUMIF('OTROS COMPONENTES'!$A$4:$A$200,$A144,'OTROS COMPONENTES'!$E$4:$E$200))</f>
        <v/>
      </c>
      <c r="AD144" s="21">
        <f>IF($A144="","",ROUND(N(AB144)-N(AC144),2))</f>
        <v/>
      </c>
      <c r="AE144" s="21">
        <f>IF($A144="","",ROUND(N(P144)+N(AB144),2))</f>
        <v/>
      </c>
      <c r="AF144" s="21">
        <f>IF($A144="","",ROUND(N(Z144)+N(AC144),2))</f>
        <v/>
      </c>
      <c r="AG144" s="21">
        <f>IF($A144="","",ROUND(N(AA144)+N(AD144),2))</f>
        <v/>
      </c>
      <c r="AH144" s="9">
        <f>IF($A144="","",IF(OR($H144="Por confirmar",$H144="Cerrado"),"No","Sí"))</f>
        <v/>
      </c>
      <c r="AI144" s="21">
        <f>IF($A144="","",IF(AH144="No",0,IF(RESUMEN!$B$4="Saldo por pagar al fabricante",AA144,IF(RESUMEN!$B$4="Monto completo del pedido",P144,IF(OR($H144="Embarcando",$H144="Embarcado"),N(AA144),N(P144))))))</f>
        <v/>
      </c>
      <c r="AJ144" s="9">
        <f>IF($A144="","",IF(COUNTIF($A$4:$A$200,$A144)&gt;1,"ID_Pedido repetido",IF(N($P144)&lt;=0,"Falta el costo del fabricante",IF($F144="","Falta el proyecto",IF($G144="","Falta el cliente",IF(AND($H144&lt;&gt;"Por confirmar",N($R144)&gt;0,$T144=""),"Falta el estado del anticipo",IF(AND($H144&lt;&gt;"Por confirmar",N($V144)&gt;0,$X144=""),"Falta el estado del balance",IF($E144&gt;1,""&amp;$E144&amp;" equipos en una fila: pártela en una por proyecto",IF(AND($X144="Pendiente",N($V144)&gt;0,$W144=""),"Falta la fecha en que vence el balance",IF(AND($H144&lt;&gt;"Por confirmar",$H144&lt;&gt;"Cerrado",$AI144=0),"Consume 0 de cupo pero no está Por confirmar",""))))))))))</f>
        <v/>
      </c>
      <c r="AK144" s="4" t="n"/>
    </row>
    <row r="145">
      <c r="A145" s="4" t="n"/>
      <c r="B145" s="4" t="n"/>
      <c r="C145" s="4" t="n"/>
      <c r="D145" s="4" t="n"/>
      <c r="E145" s="4" t="n"/>
      <c r="F145" s="4" t="n"/>
      <c r="G145" s="4" t="n"/>
      <c r="H145" s="4" t="n"/>
      <c r="I145" s="5" t="n"/>
      <c r="J145" s="5" t="n"/>
      <c r="K145" s="5" t="n"/>
      <c r="L145" s="5" t="n"/>
      <c r="M145" s="5" t="n"/>
      <c r="N145" s="4" t="n"/>
      <c r="O145" s="4" t="n"/>
      <c r="P145" s="20" t="n"/>
      <c r="Q145" s="30" t="n"/>
      <c r="R145" s="21">
        <f>IF($A145="","",ROUND(P145*Q145,2))</f>
        <v/>
      </c>
      <c r="S145" s="5" t="n"/>
      <c r="T145" s="4" t="n"/>
      <c r="U145" s="5" t="n"/>
      <c r="V145" s="21">
        <f>IF($A145="","",ROUND(P145-R145,2))</f>
        <v/>
      </c>
      <c r="W145" s="5" t="n"/>
      <c r="X145" s="4" t="n"/>
      <c r="Y145" s="5" t="n"/>
      <c r="Z145" s="21">
        <f>IF($A145="","",IF(T145="Pagado",N(R145),0)+IF(X145="Pagado",N(V145),0))</f>
        <v/>
      </c>
      <c r="AA145" s="21">
        <f>IF($A145="","",ROUND(N(P145)-N(Z145),2))</f>
        <v/>
      </c>
      <c r="AB145" s="21">
        <f>IF($A145="","",SUMIF('OTROS COMPONENTES'!$A$4:$A$200,$A145,'OTROS COMPONENTES'!$D$4:$D$200))</f>
        <v/>
      </c>
      <c r="AC145" s="21">
        <f>IF($A145="","",SUMIF('OTROS COMPONENTES'!$A$4:$A$200,$A145,'OTROS COMPONENTES'!$E$4:$E$200))</f>
        <v/>
      </c>
      <c r="AD145" s="21">
        <f>IF($A145="","",ROUND(N(AB145)-N(AC145),2))</f>
        <v/>
      </c>
      <c r="AE145" s="21">
        <f>IF($A145="","",ROUND(N(P145)+N(AB145),2))</f>
        <v/>
      </c>
      <c r="AF145" s="21">
        <f>IF($A145="","",ROUND(N(Z145)+N(AC145),2))</f>
        <v/>
      </c>
      <c r="AG145" s="21">
        <f>IF($A145="","",ROUND(N(AA145)+N(AD145),2))</f>
        <v/>
      </c>
      <c r="AH145" s="9">
        <f>IF($A145="","",IF(OR($H145="Por confirmar",$H145="Cerrado"),"No","Sí"))</f>
        <v/>
      </c>
      <c r="AI145" s="21">
        <f>IF($A145="","",IF(AH145="No",0,IF(RESUMEN!$B$4="Saldo por pagar al fabricante",AA145,IF(RESUMEN!$B$4="Monto completo del pedido",P145,IF(OR($H145="Embarcando",$H145="Embarcado"),N(AA145),N(P145))))))</f>
        <v/>
      </c>
      <c r="AJ145" s="9">
        <f>IF($A145="","",IF(COUNTIF($A$4:$A$200,$A145)&gt;1,"ID_Pedido repetido",IF(N($P145)&lt;=0,"Falta el costo del fabricante",IF($F145="","Falta el proyecto",IF($G145="","Falta el cliente",IF(AND($H145&lt;&gt;"Por confirmar",N($R145)&gt;0,$T145=""),"Falta el estado del anticipo",IF(AND($H145&lt;&gt;"Por confirmar",N($V145)&gt;0,$X145=""),"Falta el estado del balance",IF($E145&gt;1,""&amp;$E145&amp;" equipos en una fila: pártela en una por proyecto",IF(AND($X145="Pendiente",N($V145)&gt;0,$W145=""),"Falta la fecha en que vence el balance",IF(AND($H145&lt;&gt;"Por confirmar",$H145&lt;&gt;"Cerrado",$AI145=0),"Consume 0 de cupo pero no está Por confirmar",""))))))))))</f>
        <v/>
      </c>
      <c r="AK145" s="4" t="n"/>
    </row>
    <row r="146">
      <c r="A146" s="4" t="n"/>
      <c r="B146" s="4" t="n"/>
      <c r="C146" s="4" t="n"/>
      <c r="D146" s="4" t="n"/>
      <c r="E146" s="4" t="n"/>
      <c r="F146" s="4" t="n"/>
      <c r="G146" s="4" t="n"/>
      <c r="H146" s="4" t="n"/>
      <c r="I146" s="5" t="n"/>
      <c r="J146" s="5" t="n"/>
      <c r="K146" s="5" t="n"/>
      <c r="L146" s="5" t="n"/>
      <c r="M146" s="5" t="n"/>
      <c r="N146" s="4" t="n"/>
      <c r="O146" s="4" t="n"/>
      <c r="P146" s="20" t="n"/>
      <c r="Q146" s="30" t="n"/>
      <c r="R146" s="21">
        <f>IF($A146="","",ROUND(P146*Q146,2))</f>
        <v/>
      </c>
      <c r="S146" s="5" t="n"/>
      <c r="T146" s="4" t="n"/>
      <c r="U146" s="5" t="n"/>
      <c r="V146" s="21">
        <f>IF($A146="","",ROUND(P146-R146,2))</f>
        <v/>
      </c>
      <c r="W146" s="5" t="n"/>
      <c r="X146" s="4" t="n"/>
      <c r="Y146" s="5" t="n"/>
      <c r="Z146" s="21">
        <f>IF($A146="","",IF(T146="Pagado",N(R146),0)+IF(X146="Pagado",N(V146),0))</f>
        <v/>
      </c>
      <c r="AA146" s="21">
        <f>IF($A146="","",ROUND(N(P146)-N(Z146),2))</f>
        <v/>
      </c>
      <c r="AB146" s="21">
        <f>IF($A146="","",SUMIF('OTROS COMPONENTES'!$A$4:$A$200,$A146,'OTROS COMPONENTES'!$D$4:$D$200))</f>
        <v/>
      </c>
      <c r="AC146" s="21">
        <f>IF($A146="","",SUMIF('OTROS COMPONENTES'!$A$4:$A$200,$A146,'OTROS COMPONENTES'!$E$4:$E$200))</f>
        <v/>
      </c>
      <c r="AD146" s="21">
        <f>IF($A146="","",ROUND(N(AB146)-N(AC146),2))</f>
        <v/>
      </c>
      <c r="AE146" s="21">
        <f>IF($A146="","",ROUND(N(P146)+N(AB146),2))</f>
        <v/>
      </c>
      <c r="AF146" s="21">
        <f>IF($A146="","",ROUND(N(Z146)+N(AC146),2))</f>
        <v/>
      </c>
      <c r="AG146" s="21">
        <f>IF($A146="","",ROUND(N(AA146)+N(AD146),2))</f>
        <v/>
      </c>
      <c r="AH146" s="9">
        <f>IF($A146="","",IF(OR($H146="Por confirmar",$H146="Cerrado"),"No","Sí"))</f>
        <v/>
      </c>
      <c r="AI146" s="21">
        <f>IF($A146="","",IF(AH146="No",0,IF(RESUMEN!$B$4="Saldo por pagar al fabricante",AA146,IF(RESUMEN!$B$4="Monto completo del pedido",P146,IF(OR($H146="Embarcando",$H146="Embarcado"),N(AA146),N(P146))))))</f>
        <v/>
      </c>
      <c r="AJ146" s="9">
        <f>IF($A146="","",IF(COUNTIF($A$4:$A$200,$A146)&gt;1,"ID_Pedido repetido",IF(N($P146)&lt;=0,"Falta el costo del fabricante",IF($F146="","Falta el proyecto",IF($G146="","Falta el cliente",IF(AND($H146&lt;&gt;"Por confirmar",N($R146)&gt;0,$T146=""),"Falta el estado del anticipo",IF(AND($H146&lt;&gt;"Por confirmar",N($V146)&gt;0,$X146=""),"Falta el estado del balance",IF($E146&gt;1,""&amp;$E146&amp;" equipos en una fila: pártela en una por proyecto",IF(AND($X146="Pendiente",N($V146)&gt;0,$W146=""),"Falta la fecha en que vence el balance",IF(AND($H146&lt;&gt;"Por confirmar",$H146&lt;&gt;"Cerrado",$AI146=0),"Consume 0 de cupo pero no está Por confirmar",""))))))))))</f>
        <v/>
      </c>
      <c r="AK146" s="4" t="n"/>
    </row>
    <row r="147">
      <c r="A147" s="4" t="n"/>
      <c r="B147" s="4" t="n"/>
      <c r="C147" s="4" t="n"/>
      <c r="D147" s="4" t="n"/>
      <c r="E147" s="4" t="n"/>
      <c r="F147" s="4" t="n"/>
      <c r="G147" s="4" t="n"/>
      <c r="H147" s="4" t="n"/>
      <c r="I147" s="5" t="n"/>
      <c r="J147" s="5" t="n"/>
      <c r="K147" s="5" t="n"/>
      <c r="L147" s="5" t="n"/>
      <c r="M147" s="5" t="n"/>
      <c r="N147" s="4" t="n"/>
      <c r="O147" s="4" t="n"/>
      <c r="P147" s="20" t="n"/>
      <c r="Q147" s="30" t="n"/>
      <c r="R147" s="21">
        <f>IF($A147="","",ROUND(P147*Q147,2))</f>
        <v/>
      </c>
      <c r="S147" s="5" t="n"/>
      <c r="T147" s="4" t="n"/>
      <c r="U147" s="5" t="n"/>
      <c r="V147" s="21">
        <f>IF($A147="","",ROUND(P147-R147,2))</f>
        <v/>
      </c>
      <c r="W147" s="5" t="n"/>
      <c r="X147" s="4" t="n"/>
      <c r="Y147" s="5" t="n"/>
      <c r="Z147" s="21">
        <f>IF($A147="","",IF(T147="Pagado",N(R147),0)+IF(X147="Pagado",N(V147),0))</f>
        <v/>
      </c>
      <c r="AA147" s="21">
        <f>IF($A147="","",ROUND(N(P147)-N(Z147),2))</f>
        <v/>
      </c>
      <c r="AB147" s="21">
        <f>IF($A147="","",SUMIF('OTROS COMPONENTES'!$A$4:$A$200,$A147,'OTROS COMPONENTES'!$D$4:$D$200))</f>
        <v/>
      </c>
      <c r="AC147" s="21">
        <f>IF($A147="","",SUMIF('OTROS COMPONENTES'!$A$4:$A$200,$A147,'OTROS COMPONENTES'!$E$4:$E$200))</f>
        <v/>
      </c>
      <c r="AD147" s="21">
        <f>IF($A147="","",ROUND(N(AB147)-N(AC147),2))</f>
        <v/>
      </c>
      <c r="AE147" s="21">
        <f>IF($A147="","",ROUND(N(P147)+N(AB147),2))</f>
        <v/>
      </c>
      <c r="AF147" s="21">
        <f>IF($A147="","",ROUND(N(Z147)+N(AC147),2))</f>
        <v/>
      </c>
      <c r="AG147" s="21">
        <f>IF($A147="","",ROUND(N(AA147)+N(AD147),2))</f>
        <v/>
      </c>
      <c r="AH147" s="9">
        <f>IF($A147="","",IF(OR($H147="Por confirmar",$H147="Cerrado"),"No","Sí"))</f>
        <v/>
      </c>
      <c r="AI147" s="21">
        <f>IF($A147="","",IF(AH147="No",0,IF(RESUMEN!$B$4="Saldo por pagar al fabricante",AA147,IF(RESUMEN!$B$4="Monto completo del pedido",P147,IF(OR($H147="Embarcando",$H147="Embarcado"),N(AA147),N(P147))))))</f>
        <v/>
      </c>
      <c r="AJ147" s="9">
        <f>IF($A147="","",IF(COUNTIF($A$4:$A$200,$A147)&gt;1,"ID_Pedido repetido",IF(N($P147)&lt;=0,"Falta el costo del fabricante",IF($F147="","Falta el proyecto",IF($G147="","Falta el cliente",IF(AND($H147&lt;&gt;"Por confirmar",N($R147)&gt;0,$T147=""),"Falta el estado del anticipo",IF(AND($H147&lt;&gt;"Por confirmar",N($V147)&gt;0,$X147=""),"Falta el estado del balance",IF($E147&gt;1,""&amp;$E147&amp;" equipos en una fila: pártela en una por proyecto",IF(AND($X147="Pendiente",N($V147)&gt;0,$W147=""),"Falta la fecha en que vence el balance",IF(AND($H147&lt;&gt;"Por confirmar",$H147&lt;&gt;"Cerrado",$AI147=0),"Consume 0 de cupo pero no está Por confirmar",""))))))))))</f>
        <v/>
      </c>
      <c r="AK147" s="4" t="n"/>
    </row>
    <row r="148">
      <c r="A148" s="4" t="n"/>
      <c r="B148" s="4" t="n"/>
      <c r="C148" s="4" t="n"/>
      <c r="D148" s="4" t="n"/>
      <c r="E148" s="4" t="n"/>
      <c r="F148" s="4" t="n"/>
      <c r="G148" s="4" t="n"/>
      <c r="H148" s="4" t="n"/>
      <c r="I148" s="5" t="n"/>
      <c r="J148" s="5" t="n"/>
      <c r="K148" s="5" t="n"/>
      <c r="L148" s="5" t="n"/>
      <c r="M148" s="5" t="n"/>
      <c r="N148" s="4" t="n"/>
      <c r="O148" s="4" t="n"/>
      <c r="P148" s="20" t="n"/>
      <c r="Q148" s="30" t="n"/>
      <c r="R148" s="21">
        <f>IF($A148="","",ROUND(P148*Q148,2))</f>
        <v/>
      </c>
      <c r="S148" s="5" t="n"/>
      <c r="T148" s="4" t="n"/>
      <c r="U148" s="5" t="n"/>
      <c r="V148" s="21">
        <f>IF($A148="","",ROUND(P148-R148,2))</f>
        <v/>
      </c>
      <c r="W148" s="5" t="n"/>
      <c r="X148" s="4" t="n"/>
      <c r="Y148" s="5" t="n"/>
      <c r="Z148" s="21">
        <f>IF($A148="","",IF(T148="Pagado",N(R148),0)+IF(X148="Pagado",N(V148),0))</f>
        <v/>
      </c>
      <c r="AA148" s="21">
        <f>IF($A148="","",ROUND(N(P148)-N(Z148),2))</f>
        <v/>
      </c>
      <c r="AB148" s="21">
        <f>IF($A148="","",SUMIF('OTROS COMPONENTES'!$A$4:$A$200,$A148,'OTROS COMPONENTES'!$D$4:$D$200))</f>
        <v/>
      </c>
      <c r="AC148" s="21">
        <f>IF($A148="","",SUMIF('OTROS COMPONENTES'!$A$4:$A$200,$A148,'OTROS COMPONENTES'!$E$4:$E$200))</f>
        <v/>
      </c>
      <c r="AD148" s="21">
        <f>IF($A148="","",ROUND(N(AB148)-N(AC148),2))</f>
        <v/>
      </c>
      <c r="AE148" s="21">
        <f>IF($A148="","",ROUND(N(P148)+N(AB148),2))</f>
        <v/>
      </c>
      <c r="AF148" s="21">
        <f>IF($A148="","",ROUND(N(Z148)+N(AC148),2))</f>
        <v/>
      </c>
      <c r="AG148" s="21">
        <f>IF($A148="","",ROUND(N(AA148)+N(AD148),2))</f>
        <v/>
      </c>
      <c r="AH148" s="9">
        <f>IF($A148="","",IF(OR($H148="Por confirmar",$H148="Cerrado"),"No","Sí"))</f>
        <v/>
      </c>
      <c r="AI148" s="21">
        <f>IF($A148="","",IF(AH148="No",0,IF(RESUMEN!$B$4="Saldo por pagar al fabricante",AA148,IF(RESUMEN!$B$4="Monto completo del pedido",P148,IF(OR($H148="Embarcando",$H148="Embarcado"),N(AA148),N(P148))))))</f>
        <v/>
      </c>
      <c r="AJ148" s="9">
        <f>IF($A148="","",IF(COUNTIF($A$4:$A$200,$A148)&gt;1,"ID_Pedido repetido",IF(N($P148)&lt;=0,"Falta el costo del fabricante",IF($F148="","Falta el proyecto",IF($G148="","Falta el cliente",IF(AND($H148&lt;&gt;"Por confirmar",N($R148)&gt;0,$T148=""),"Falta el estado del anticipo",IF(AND($H148&lt;&gt;"Por confirmar",N($V148)&gt;0,$X148=""),"Falta el estado del balance",IF($E148&gt;1,""&amp;$E148&amp;" equipos en una fila: pártela en una por proyecto",IF(AND($X148="Pendiente",N($V148)&gt;0,$W148=""),"Falta la fecha en que vence el balance",IF(AND($H148&lt;&gt;"Por confirmar",$H148&lt;&gt;"Cerrado",$AI148=0),"Consume 0 de cupo pero no está Por confirmar",""))))))))))</f>
        <v/>
      </c>
      <c r="AK148" s="4" t="n"/>
    </row>
    <row r="149">
      <c r="A149" s="4" t="n"/>
      <c r="B149" s="4" t="n"/>
      <c r="C149" s="4" t="n"/>
      <c r="D149" s="4" t="n"/>
      <c r="E149" s="4" t="n"/>
      <c r="F149" s="4" t="n"/>
      <c r="G149" s="4" t="n"/>
      <c r="H149" s="4" t="n"/>
      <c r="I149" s="5" t="n"/>
      <c r="J149" s="5" t="n"/>
      <c r="K149" s="5" t="n"/>
      <c r="L149" s="5" t="n"/>
      <c r="M149" s="5" t="n"/>
      <c r="N149" s="4" t="n"/>
      <c r="O149" s="4" t="n"/>
      <c r="P149" s="20" t="n"/>
      <c r="Q149" s="30" t="n"/>
      <c r="R149" s="21">
        <f>IF($A149="","",ROUND(P149*Q149,2))</f>
        <v/>
      </c>
      <c r="S149" s="5" t="n"/>
      <c r="T149" s="4" t="n"/>
      <c r="U149" s="5" t="n"/>
      <c r="V149" s="21">
        <f>IF($A149="","",ROUND(P149-R149,2))</f>
        <v/>
      </c>
      <c r="W149" s="5" t="n"/>
      <c r="X149" s="4" t="n"/>
      <c r="Y149" s="5" t="n"/>
      <c r="Z149" s="21">
        <f>IF($A149="","",IF(T149="Pagado",N(R149),0)+IF(X149="Pagado",N(V149),0))</f>
        <v/>
      </c>
      <c r="AA149" s="21">
        <f>IF($A149="","",ROUND(N(P149)-N(Z149),2))</f>
        <v/>
      </c>
      <c r="AB149" s="21">
        <f>IF($A149="","",SUMIF('OTROS COMPONENTES'!$A$4:$A$200,$A149,'OTROS COMPONENTES'!$D$4:$D$200))</f>
        <v/>
      </c>
      <c r="AC149" s="21">
        <f>IF($A149="","",SUMIF('OTROS COMPONENTES'!$A$4:$A$200,$A149,'OTROS COMPONENTES'!$E$4:$E$200))</f>
        <v/>
      </c>
      <c r="AD149" s="21">
        <f>IF($A149="","",ROUND(N(AB149)-N(AC149),2))</f>
        <v/>
      </c>
      <c r="AE149" s="21">
        <f>IF($A149="","",ROUND(N(P149)+N(AB149),2))</f>
        <v/>
      </c>
      <c r="AF149" s="21">
        <f>IF($A149="","",ROUND(N(Z149)+N(AC149),2))</f>
        <v/>
      </c>
      <c r="AG149" s="21">
        <f>IF($A149="","",ROUND(N(AA149)+N(AD149),2))</f>
        <v/>
      </c>
      <c r="AH149" s="9">
        <f>IF($A149="","",IF(OR($H149="Por confirmar",$H149="Cerrado"),"No","Sí"))</f>
        <v/>
      </c>
      <c r="AI149" s="21">
        <f>IF($A149="","",IF(AH149="No",0,IF(RESUMEN!$B$4="Saldo por pagar al fabricante",AA149,IF(RESUMEN!$B$4="Monto completo del pedido",P149,IF(OR($H149="Embarcando",$H149="Embarcado"),N(AA149),N(P149))))))</f>
        <v/>
      </c>
      <c r="AJ149" s="9">
        <f>IF($A149="","",IF(COUNTIF($A$4:$A$200,$A149)&gt;1,"ID_Pedido repetido",IF(N($P149)&lt;=0,"Falta el costo del fabricante",IF($F149="","Falta el proyecto",IF($G149="","Falta el cliente",IF(AND($H149&lt;&gt;"Por confirmar",N($R149)&gt;0,$T149=""),"Falta el estado del anticipo",IF(AND($H149&lt;&gt;"Por confirmar",N($V149)&gt;0,$X149=""),"Falta el estado del balance",IF($E149&gt;1,""&amp;$E149&amp;" equipos en una fila: pártela en una por proyecto",IF(AND($X149="Pendiente",N($V149)&gt;0,$W149=""),"Falta la fecha en que vence el balance",IF(AND($H149&lt;&gt;"Por confirmar",$H149&lt;&gt;"Cerrado",$AI149=0),"Consume 0 de cupo pero no está Por confirmar",""))))))))))</f>
        <v/>
      </c>
      <c r="AK149" s="4" t="n"/>
    </row>
    <row r="150">
      <c r="A150" s="4" t="n"/>
      <c r="B150" s="4" t="n"/>
      <c r="C150" s="4" t="n"/>
      <c r="D150" s="4" t="n"/>
      <c r="E150" s="4" t="n"/>
      <c r="F150" s="4" t="n"/>
      <c r="G150" s="4" t="n"/>
      <c r="H150" s="4" t="n"/>
      <c r="I150" s="5" t="n"/>
      <c r="J150" s="5" t="n"/>
      <c r="K150" s="5" t="n"/>
      <c r="L150" s="5" t="n"/>
      <c r="M150" s="5" t="n"/>
      <c r="N150" s="4" t="n"/>
      <c r="O150" s="4" t="n"/>
      <c r="P150" s="20" t="n"/>
      <c r="Q150" s="30" t="n"/>
      <c r="R150" s="21">
        <f>IF($A150="","",ROUND(P150*Q150,2))</f>
        <v/>
      </c>
      <c r="S150" s="5" t="n"/>
      <c r="T150" s="4" t="n"/>
      <c r="U150" s="5" t="n"/>
      <c r="V150" s="21">
        <f>IF($A150="","",ROUND(P150-R150,2))</f>
        <v/>
      </c>
      <c r="W150" s="5" t="n"/>
      <c r="X150" s="4" t="n"/>
      <c r="Y150" s="5" t="n"/>
      <c r="Z150" s="21">
        <f>IF($A150="","",IF(T150="Pagado",N(R150),0)+IF(X150="Pagado",N(V150),0))</f>
        <v/>
      </c>
      <c r="AA150" s="21">
        <f>IF($A150="","",ROUND(N(P150)-N(Z150),2))</f>
        <v/>
      </c>
      <c r="AB150" s="21">
        <f>IF($A150="","",SUMIF('OTROS COMPONENTES'!$A$4:$A$200,$A150,'OTROS COMPONENTES'!$D$4:$D$200))</f>
        <v/>
      </c>
      <c r="AC150" s="21">
        <f>IF($A150="","",SUMIF('OTROS COMPONENTES'!$A$4:$A$200,$A150,'OTROS COMPONENTES'!$E$4:$E$200))</f>
        <v/>
      </c>
      <c r="AD150" s="21">
        <f>IF($A150="","",ROUND(N(AB150)-N(AC150),2))</f>
        <v/>
      </c>
      <c r="AE150" s="21">
        <f>IF($A150="","",ROUND(N(P150)+N(AB150),2))</f>
        <v/>
      </c>
      <c r="AF150" s="21">
        <f>IF($A150="","",ROUND(N(Z150)+N(AC150),2))</f>
        <v/>
      </c>
      <c r="AG150" s="21">
        <f>IF($A150="","",ROUND(N(AA150)+N(AD150),2))</f>
        <v/>
      </c>
      <c r="AH150" s="9">
        <f>IF($A150="","",IF(OR($H150="Por confirmar",$H150="Cerrado"),"No","Sí"))</f>
        <v/>
      </c>
      <c r="AI150" s="21">
        <f>IF($A150="","",IF(AH150="No",0,IF(RESUMEN!$B$4="Saldo por pagar al fabricante",AA150,IF(RESUMEN!$B$4="Monto completo del pedido",P150,IF(OR($H150="Embarcando",$H150="Embarcado"),N(AA150),N(P150))))))</f>
        <v/>
      </c>
      <c r="AJ150" s="9">
        <f>IF($A150="","",IF(COUNTIF($A$4:$A$200,$A150)&gt;1,"ID_Pedido repetido",IF(N($P150)&lt;=0,"Falta el costo del fabricante",IF($F150="","Falta el proyecto",IF($G150="","Falta el cliente",IF(AND($H150&lt;&gt;"Por confirmar",N($R150)&gt;0,$T150=""),"Falta el estado del anticipo",IF(AND($H150&lt;&gt;"Por confirmar",N($V150)&gt;0,$X150=""),"Falta el estado del balance",IF($E150&gt;1,""&amp;$E150&amp;" equipos en una fila: pártela en una por proyecto",IF(AND($X150="Pendiente",N($V150)&gt;0,$W150=""),"Falta la fecha en que vence el balance",IF(AND($H150&lt;&gt;"Por confirmar",$H150&lt;&gt;"Cerrado",$AI150=0),"Consume 0 de cupo pero no está Por confirmar",""))))))))))</f>
        <v/>
      </c>
      <c r="AK150" s="4" t="n"/>
    </row>
    <row r="151">
      <c r="A151" s="4" t="n"/>
      <c r="B151" s="4" t="n"/>
      <c r="C151" s="4" t="n"/>
      <c r="D151" s="4" t="n"/>
      <c r="E151" s="4" t="n"/>
      <c r="F151" s="4" t="n"/>
      <c r="G151" s="4" t="n"/>
      <c r="H151" s="4" t="n"/>
      <c r="I151" s="5" t="n"/>
      <c r="J151" s="5" t="n"/>
      <c r="K151" s="5" t="n"/>
      <c r="L151" s="5" t="n"/>
      <c r="M151" s="5" t="n"/>
      <c r="N151" s="4" t="n"/>
      <c r="O151" s="4" t="n"/>
      <c r="P151" s="20" t="n"/>
      <c r="Q151" s="30" t="n"/>
      <c r="R151" s="21">
        <f>IF($A151="","",ROUND(P151*Q151,2))</f>
        <v/>
      </c>
      <c r="S151" s="5" t="n"/>
      <c r="T151" s="4" t="n"/>
      <c r="U151" s="5" t="n"/>
      <c r="V151" s="21">
        <f>IF($A151="","",ROUND(P151-R151,2))</f>
        <v/>
      </c>
      <c r="W151" s="5" t="n"/>
      <c r="X151" s="4" t="n"/>
      <c r="Y151" s="5" t="n"/>
      <c r="Z151" s="21">
        <f>IF($A151="","",IF(T151="Pagado",N(R151),0)+IF(X151="Pagado",N(V151),0))</f>
        <v/>
      </c>
      <c r="AA151" s="21">
        <f>IF($A151="","",ROUND(N(P151)-N(Z151),2))</f>
        <v/>
      </c>
      <c r="AB151" s="21">
        <f>IF($A151="","",SUMIF('OTROS COMPONENTES'!$A$4:$A$200,$A151,'OTROS COMPONENTES'!$D$4:$D$200))</f>
        <v/>
      </c>
      <c r="AC151" s="21">
        <f>IF($A151="","",SUMIF('OTROS COMPONENTES'!$A$4:$A$200,$A151,'OTROS COMPONENTES'!$E$4:$E$200))</f>
        <v/>
      </c>
      <c r="AD151" s="21">
        <f>IF($A151="","",ROUND(N(AB151)-N(AC151),2))</f>
        <v/>
      </c>
      <c r="AE151" s="21">
        <f>IF($A151="","",ROUND(N(P151)+N(AB151),2))</f>
        <v/>
      </c>
      <c r="AF151" s="21">
        <f>IF($A151="","",ROUND(N(Z151)+N(AC151),2))</f>
        <v/>
      </c>
      <c r="AG151" s="21">
        <f>IF($A151="","",ROUND(N(AA151)+N(AD151),2))</f>
        <v/>
      </c>
      <c r="AH151" s="9">
        <f>IF($A151="","",IF(OR($H151="Por confirmar",$H151="Cerrado"),"No","Sí"))</f>
        <v/>
      </c>
      <c r="AI151" s="21">
        <f>IF($A151="","",IF(AH151="No",0,IF(RESUMEN!$B$4="Saldo por pagar al fabricante",AA151,IF(RESUMEN!$B$4="Monto completo del pedido",P151,IF(OR($H151="Embarcando",$H151="Embarcado"),N(AA151),N(P151))))))</f>
        <v/>
      </c>
      <c r="AJ151" s="9">
        <f>IF($A151="","",IF(COUNTIF($A$4:$A$200,$A151)&gt;1,"ID_Pedido repetido",IF(N($P151)&lt;=0,"Falta el costo del fabricante",IF($F151="","Falta el proyecto",IF($G151="","Falta el cliente",IF(AND($H151&lt;&gt;"Por confirmar",N($R151)&gt;0,$T151=""),"Falta el estado del anticipo",IF(AND($H151&lt;&gt;"Por confirmar",N($V151)&gt;0,$X151=""),"Falta el estado del balance",IF($E151&gt;1,""&amp;$E151&amp;" equipos en una fila: pártela en una por proyecto",IF(AND($X151="Pendiente",N($V151)&gt;0,$W151=""),"Falta la fecha en que vence el balance",IF(AND($H151&lt;&gt;"Por confirmar",$H151&lt;&gt;"Cerrado",$AI151=0),"Consume 0 de cupo pero no está Por confirmar",""))))))))))</f>
        <v/>
      </c>
      <c r="AK151" s="4" t="n"/>
    </row>
    <row r="152">
      <c r="A152" s="4" t="n"/>
      <c r="B152" s="4" t="n"/>
      <c r="C152" s="4" t="n"/>
      <c r="D152" s="4" t="n"/>
      <c r="E152" s="4" t="n"/>
      <c r="F152" s="4" t="n"/>
      <c r="G152" s="4" t="n"/>
      <c r="H152" s="4" t="n"/>
      <c r="I152" s="5" t="n"/>
      <c r="J152" s="5" t="n"/>
      <c r="K152" s="5" t="n"/>
      <c r="L152" s="5" t="n"/>
      <c r="M152" s="5" t="n"/>
      <c r="N152" s="4" t="n"/>
      <c r="O152" s="4" t="n"/>
      <c r="P152" s="20" t="n"/>
      <c r="Q152" s="30" t="n"/>
      <c r="R152" s="21">
        <f>IF($A152="","",ROUND(P152*Q152,2))</f>
        <v/>
      </c>
      <c r="S152" s="5" t="n"/>
      <c r="T152" s="4" t="n"/>
      <c r="U152" s="5" t="n"/>
      <c r="V152" s="21">
        <f>IF($A152="","",ROUND(P152-R152,2))</f>
        <v/>
      </c>
      <c r="W152" s="5" t="n"/>
      <c r="X152" s="4" t="n"/>
      <c r="Y152" s="5" t="n"/>
      <c r="Z152" s="21">
        <f>IF($A152="","",IF(T152="Pagado",N(R152),0)+IF(X152="Pagado",N(V152),0))</f>
        <v/>
      </c>
      <c r="AA152" s="21">
        <f>IF($A152="","",ROUND(N(P152)-N(Z152),2))</f>
        <v/>
      </c>
      <c r="AB152" s="21">
        <f>IF($A152="","",SUMIF('OTROS COMPONENTES'!$A$4:$A$200,$A152,'OTROS COMPONENTES'!$D$4:$D$200))</f>
        <v/>
      </c>
      <c r="AC152" s="21">
        <f>IF($A152="","",SUMIF('OTROS COMPONENTES'!$A$4:$A$200,$A152,'OTROS COMPONENTES'!$E$4:$E$200))</f>
        <v/>
      </c>
      <c r="AD152" s="21">
        <f>IF($A152="","",ROUND(N(AB152)-N(AC152),2))</f>
        <v/>
      </c>
      <c r="AE152" s="21">
        <f>IF($A152="","",ROUND(N(P152)+N(AB152),2))</f>
        <v/>
      </c>
      <c r="AF152" s="21">
        <f>IF($A152="","",ROUND(N(Z152)+N(AC152),2))</f>
        <v/>
      </c>
      <c r="AG152" s="21">
        <f>IF($A152="","",ROUND(N(AA152)+N(AD152),2))</f>
        <v/>
      </c>
      <c r="AH152" s="9">
        <f>IF($A152="","",IF(OR($H152="Por confirmar",$H152="Cerrado"),"No","Sí"))</f>
        <v/>
      </c>
      <c r="AI152" s="21">
        <f>IF($A152="","",IF(AH152="No",0,IF(RESUMEN!$B$4="Saldo por pagar al fabricante",AA152,IF(RESUMEN!$B$4="Monto completo del pedido",P152,IF(OR($H152="Embarcando",$H152="Embarcado"),N(AA152),N(P152))))))</f>
        <v/>
      </c>
      <c r="AJ152" s="9">
        <f>IF($A152="","",IF(COUNTIF($A$4:$A$200,$A152)&gt;1,"ID_Pedido repetido",IF(N($P152)&lt;=0,"Falta el costo del fabricante",IF($F152="","Falta el proyecto",IF($G152="","Falta el cliente",IF(AND($H152&lt;&gt;"Por confirmar",N($R152)&gt;0,$T152=""),"Falta el estado del anticipo",IF(AND($H152&lt;&gt;"Por confirmar",N($V152)&gt;0,$X152=""),"Falta el estado del balance",IF($E152&gt;1,""&amp;$E152&amp;" equipos en una fila: pártela en una por proyecto",IF(AND($X152="Pendiente",N($V152)&gt;0,$W152=""),"Falta la fecha en que vence el balance",IF(AND($H152&lt;&gt;"Por confirmar",$H152&lt;&gt;"Cerrado",$AI152=0),"Consume 0 de cupo pero no está Por confirmar",""))))))))))</f>
        <v/>
      </c>
      <c r="AK152" s="4" t="n"/>
    </row>
    <row r="153">
      <c r="A153" s="4" t="n"/>
      <c r="B153" s="4" t="n"/>
      <c r="C153" s="4" t="n"/>
      <c r="D153" s="4" t="n"/>
      <c r="E153" s="4" t="n"/>
      <c r="F153" s="4" t="n"/>
      <c r="G153" s="4" t="n"/>
      <c r="H153" s="4" t="n"/>
      <c r="I153" s="5" t="n"/>
      <c r="J153" s="5" t="n"/>
      <c r="K153" s="5" t="n"/>
      <c r="L153" s="5" t="n"/>
      <c r="M153" s="5" t="n"/>
      <c r="N153" s="4" t="n"/>
      <c r="O153" s="4" t="n"/>
      <c r="P153" s="20" t="n"/>
      <c r="Q153" s="30" t="n"/>
      <c r="R153" s="21">
        <f>IF($A153="","",ROUND(P153*Q153,2))</f>
        <v/>
      </c>
      <c r="S153" s="5" t="n"/>
      <c r="T153" s="4" t="n"/>
      <c r="U153" s="5" t="n"/>
      <c r="V153" s="21">
        <f>IF($A153="","",ROUND(P153-R153,2))</f>
        <v/>
      </c>
      <c r="W153" s="5" t="n"/>
      <c r="X153" s="4" t="n"/>
      <c r="Y153" s="5" t="n"/>
      <c r="Z153" s="21">
        <f>IF($A153="","",IF(T153="Pagado",N(R153),0)+IF(X153="Pagado",N(V153),0))</f>
        <v/>
      </c>
      <c r="AA153" s="21">
        <f>IF($A153="","",ROUND(N(P153)-N(Z153),2))</f>
        <v/>
      </c>
      <c r="AB153" s="21">
        <f>IF($A153="","",SUMIF('OTROS COMPONENTES'!$A$4:$A$200,$A153,'OTROS COMPONENTES'!$D$4:$D$200))</f>
        <v/>
      </c>
      <c r="AC153" s="21">
        <f>IF($A153="","",SUMIF('OTROS COMPONENTES'!$A$4:$A$200,$A153,'OTROS COMPONENTES'!$E$4:$E$200))</f>
        <v/>
      </c>
      <c r="AD153" s="21">
        <f>IF($A153="","",ROUND(N(AB153)-N(AC153),2))</f>
        <v/>
      </c>
      <c r="AE153" s="21">
        <f>IF($A153="","",ROUND(N(P153)+N(AB153),2))</f>
        <v/>
      </c>
      <c r="AF153" s="21">
        <f>IF($A153="","",ROUND(N(Z153)+N(AC153),2))</f>
        <v/>
      </c>
      <c r="AG153" s="21">
        <f>IF($A153="","",ROUND(N(AA153)+N(AD153),2))</f>
        <v/>
      </c>
      <c r="AH153" s="9">
        <f>IF($A153="","",IF(OR($H153="Por confirmar",$H153="Cerrado"),"No","Sí"))</f>
        <v/>
      </c>
      <c r="AI153" s="21">
        <f>IF($A153="","",IF(AH153="No",0,IF(RESUMEN!$B$4="Saldo por pagar al fabricante",AA153,IF(RESUMEN!$B$4="Monto completo del pedido",P153,IF(OR($H153="Embarcando",$H153="Embarcado"),N(AA153),N(P153))))))</f>
        <v/>
      </c>
      <c r="AJ153" s="9">
        <f>IF($A153="","",IF(COUNTIF($A$4:$A$200,$A153)&gt;1,"ID_Pedido repetido",IF(N($P153)&lt;=0,"Falta el costo del fabricante",IF($F153="","Falta el proyecto",IF($G153="","Falta el cliente",IF(AND($H153&lt;&gt;"Por confirmar",N($R153)&gt;0,$T153=""),"Falta el estado del anticipo",IF(AND($H153&lt;&gt;"Por confirmar",N($V153)&gt;0,$X153=""),"Falta el estado del balance",IF($E153&gt;1,""&amp;$E153&amp;" equipos en una fila: pártela en una por proyecto",IF(AND($X153="Pendiente",N($V153)&gt;0,$W153=""),"Falta la fecha en que vence el balance",IF(AND($H153&lt;&gt;"Por confirmar",$H153&lt;&gt;"Cerrado",$AI153=0),"Consume 0 de cupo pero no está Por confirmar",""))))))))))</f>
        <v/>
      </c>
      <c r="AK153" s="4" t="n"/>
    </row>
    <row r="154">
      <c r="A154" s="4" t="n"/>
      <c r="B154" s="4" t="n"/>
      <c r="C154" s="4" t="n"/>
      <c r="D154" s="4" t="n"/>
      <c r="E154" s="4" t="n"/>
      <c r="F154" s="4" t="n"/>
      <c r="G154" s="4" t="n"/>
      <c r="H154" s="4" t="n"/>
      <c r="I154" s="5" t="n"/>
      <c r="J154" s="5" t="n"/>
      <c r="K154" s="5" t="n"/>
      <c r="L154" s="5" t="n"/>
      <c r="M154" s="5" t="n"/>
      <c r="N154" s="4" t="n"/>
      <c r="O154" s="4" t="n"/>
      <c r="P154" s="20" t="n"/>
      <c r="Q154" s="30" t="n"/>
      <c r="R154" s="21">
        <f>IF($A154="","",ROUND(P154*Q154,2))</f>
        <v/>
      </c>
      <c r="S154" s="5" t="n"/>
      <c r="T154" s="4" t="n"/>
      <c r="U154" s="5" t="n"/>
      <c r="V154" s="21">
        <f>IF($A154="","",ROUND(P154-R154,2))</f>
        <v/>
      </c>
      <c r="W154" s="5" t="n"/>
      <c r="X154" s="4" t="n"/>
      <c r="Y154" s="5" t="n"/>
      <c r="Z154" s="21">
        <f>IF($A154="","",IF(T154="Pagado",N(R154),0)+IF(X154="Pagado",N(V154),0))</f>
        <v/>
      </c>
      <c r="AA154" s="21">
        <f>IF($A154="","",ROUND(N(P154)-N(Z154),2))</f>
        <v/>
      </c>
      <c r="AB154" s="21">
        <f>IF($A154="","",SUMIF('OTROS COMPONENTES'!$A$4:$A$200,$A154,'OTROS COMPONENTES'!$D$4:$D$200))</f>
        <v/>
      </c>
      <c r="AC154" s="21">
        <f>IF($A154="","",SUMIF('OTROS COMPONENTES'!$A$4:$A$200,$A154,'OTROS COMPONENTES'!$E$4:$E$200))</f>
        <v/>
      </c>
      <c r="AD154" s="21">
        <f>IF($A154="","",ROUND(N(AB154)-N(AC154),2))</f>
        <v/>
      </c>
      <c r="AE154" s="21">
        <f>IF($A154="","",ROUND(N(P154)+N(AB154),2))</f>
        <v/>
      </c>
      <c r="AF154" s="21">
        <f>IF($A154="","",ROUND(N(Z154)+N(AC154),2))</f>
        <v/>
      </c>
      <c r="AG154" s="21">
        <f>IF($A154="","",ROUND(N(AA154)+N(AD154),2))</f>
        <v/>
      </c>
      <c r="AH154" s="9">
        <f>IF($A154="","",IF(OR($H154="Por confirmar",$H154="Cerrado"),"No","Sí"))</f>
        <v/>
      </c>
      <c r="AI154" s="21">
        <f>IF($A154="","",IF(AH154="No",0,IF(RESUMEN!$B$4="Saldo por pagar al fabricante",AA154,IF(RESUMEN!$B$4="Monto completo del pedido",P154,IF(OR($H154="Embarcando",$H154="Embarcado"),N(AA154),N(P154))))))</f>
        <v/>
      </c>
      <c r="AJ154" s="9">
        <f>IF($A154="","",IF(COUNTIF($A$4:$A$200,$A154)&gt;1,"ID_Pedido repetido",IF(N($P154)&lt;=0,"Falta el costo del fabricante",IF($F154="","Falta el proyecto",IF($G154="","Falta el cliente",IF(AND($H154&lt;&gt;"Por confirmar",N($R154)&gt;0,$T154=""),"Falta el estado del anticipo",IF(AND($H154&lt;&gt;"Por confirmar",N($V154)&gt;0,$X154=""),"Falta el estado del balance",IF($E154&gt;1,""&amp;$E154&amp;" equipos en una fila: pártela en una por proyecto",IF(AND($X154="Pendiente",N($V154)&gt;0,$W154=""),"Falta la fecha en que vence el balance",IF(AND($H154&lt;&gt;"Por confirmar",$H154&lt;&gt;"Cerrado",$AI154=0),"Consume 0 de cupo pero no está Por confirmar",""))))))))))</f>
        <v/>
      </c>
      <c r="AK154" s="4" t="n"/>
    </row>
    <row r="155">
      <c r="A155" s="4" t="n"/>
      <c r="B155" s="4" t="n"/>
      <c r="C155" s="4" t="n"/>
      <c r="D155" s="4" t="n"/>
      <c r="E155" s="4" t="n"/>
      <c r="F155" s="4" t="n"/>
      <c r="G155" s="4" t="n"/>
      <c r="H155" s="4" t="n"/>
      <c r="I155" s="5" t="n"/>
      <c r="J155" s="5" t="n"/>
      <c r="K155" s="5" t="n"/>
      <c r="L155" s="5" t="n"/>
      <c r="M155" s="5" t="n"/>
      <c r="N155" s="4" t="n"/>
      <c r="O155" s="4" t="n"/>
      <c r="P155" s="20" t="n"/>
      <c r="Q155" s="30" t="n"/>
      <c r="R155" s="21">
        <f>IF($A155="","",ROUND(P155*Q155,2))</f>
        <v/>
      </c>
      <c r="S155" s="5" t="n"/>
      <c r="T155" s="4" t="n"/>
      <c r="U155" s="5" t="n"/>
      <c r="V155" s="21">
        <f>IF($A155="","",ROUND(P155-R155,2))</f>
        <v/>
      </c>
      <c r="W155" s="5" t="n"/>
      <c r="X155" s="4" t="n"/>
      <c r="Y155" s="5" t="n"/>
      <c r="Z155" s="21">
        <f>IF($A155="","",IF(T155="Pagado",N(R155),0)+IF(X155="Pagado",N(V155),0))</f>
        <v/>
      </c>
      <c r="AA155" s="21">
        <f>IF($A155="","",ROUND(N(P155)-N(Z155),2))</f>
        <v/>
      </c>
      <c r="AB155" s="21">
        <f>IF($A155="","",SUMIF('OTROS COMPONENTES'!$A$4:$A$200,$A155,'OTROS COMPONENTES'!$D$4:$D$200))</f>
        <v/>
      </c>
      <c r="AC155" s="21">
        <f>IF($A155="","",SUMIF('OTROS COMPONENTES'!$A$4:$A$200,$A155,'OTROS COMPONENTES'!$E$4:$E$200))</f>
        <v/>
      </c>
      <c r="AD155" s="21">
        <f>IF($A155="","",ROUND(N(AB155)-N(AC155),2))</f>
        <v/>
      </c>
      <c r="AE155" s="21">
        <f>IF($A155="","",ROUND(N(P155)+N(AB155),2))</f>
        <v/>
      </c>
      <c r="AF155" s="21">
        <f>IF($A155="","",ROUND(N(Z155)+N(AC155),2))</f>
        <v/>
      </c>
      <c r="AG155" s="21">
        <f>IF($A155="","",ROUND(N(AA155)+N(AD155),2))</f>
        <v/>
      </c>
      <c r="AH155" s="9">
        <f>IF($A155="","",IF(OR($H155="Por confirmar",$H155="Cerrado"),"No","Sí"))</f>
        <v/>
      </c>
      <c r="AI155" s="21">
        <f>IF($A155="","",IF(AH155="No",0,IF(RESUMEN!$B$4="Saldo por pagar al fabricante",AA155,IF(RESUMEN!$B$4="Monto completo del pedido",P155,IF(OR($H155="Embarcando",$H155="Embarcado"),N(AA155),N(P155))))))</f>
        <v/>
      </c>
      <c r="AJ155" s="9">
        <f>IF($A155="","",IF(COUNTIF($A$4:$A$200,$A155)&gt;1,"ID_Pedido repetido",IF(N($P155)&lt;=0,"Falta el costo del fabricante",IF($F155="","Falta el proyecto",IF($G155="","Falta el cliente",IF(AND($H155&lt;&gt;"Por confirmar",N($R155)&gt;0,$T155=""),"Falta el estado del anticipo",IF(AND($H155&lt;&gt;"Por confirmar",N($V155)&gt;0,$X155=""),"Falta el estado del balance",IF($E155&gt;1,""&amp;$E155&amp;" equipos en una fila: pártela en una por proyecto",IF(AND($X155="Pendiente",N($V155)&gt;0,$W155=""),"Falta la fecha en que vence el balance",IF(AND($H155&lt;&gt;"Por confirmar",$H155&lt;&gt;"Cerrado",$AI155=0),"Consume 0 de cupo pero no está Por confirmar",""))))))))))</f>
        <v/>
      </c>
      <c r="AK155" s="4" t="n"/>
    </row>
    <row r="156">
      <c r="A156" s="4" t="n"/>
      <c r="B156" s="4" t="n"/>
      <c r="C156" s="4" t="n"/>
      <c r="D156" s="4" t="n"/>
      <c r="E156" s="4" t="n"/>
      <c r="F156" s="4" t="n"/>
      <c r="G156" s="4" t="n"/>
      <c r="H156" s="4" t="n"/>
      <c r="I156" s="5" t="n"/>
      <c r="J156" s="5" t="n"/>
      <c r="K156" s="5" t="n"/>
      <c r="L156" s="5" t="n"/>
      <c r="M156" s="5" t="n"/>
      <c r="N156" s="4" t="n"/>
      <c r="O156" s="4" t="n"/>
      <c r="P156" s="20" t="n"/>
      <c r="Q156" s="30" t="n"/>
      <c r="R156" s="21">
        <f>IF($A156="","",ROUND(P156*Q156,2))</f>
        <v/>
      </c>
      <c r="S156" s="5" t="n"/>
      <c r="T156" s="4" t="n"/>
      <c r="U156" s="5" t="n"/>
      <c r="V156" s="21">
        <f>IF($A156="","",ROUND(P156-R156,2))</f>
        <v/>
      </c>
      <c r="W156" s="5" t="n"/>
      <c r="X156" s="4" t="n"/>
      <c r="Y156" s="5" t="n"/>
      <c r="Z156" s="21">
        <f>IF($A156="","",IF(T156="Pagado",N(R156),0)+IF(X156="Pagado",N(V156),0))</f>
        <v/>
      </c>
      <c r="AA156" s="21">
        <f>IF($A156="","",ROUND(N(P156)-N(Z156),2))</f>
        <v/>
      </c>
      <c r="AB156" s="21">
        <f>IF($A156="","",SUMIF('OTROS COMPONENTES'!$A$4:$A$200,$A156,'OTROS COMPONENTES'!$D$4:$D$200))</f>
        <v/>
      </c>
      <c r="AC156" s="21">
        <f>IF($A156="","",SUMIF('OTROS COMPONENTES'!$A$4:$A$200,$A156,'OTROS COMPONENTES'!$E$4:$E$200))</f>
        <v/>
      </c>
      <c r="AD156" s="21">
        <f>IF($A156="","",ROUND(N(AB156)-N(AC156),2))</f>
        <v/>
      </c>
      <c r="AE156" s="21">
        <f>IF($A156="","",ROUND(N(P156)+N(AB156),2))</f>
        <v/>
      </c>
      <c r="AF156" s="21">
        <f>IF($A156="","",ROUND(N(Z156)+N(AC156),2))</f>
        <v/>
      </c>
      <c r="AG156" s="21">
        <f>IF($A156="","",ROUND(N(AA156)+N(AD156),2))</f>
        <v/>
      </c>
      <c r="AH156" s="9">
        <f>IF($A156="","",IF(OR($H156="Por confirmar",$H156="Cerrado"),"No","Sí"))</f>
        <v/>
      </c>
      <c r="AI156" s="21">
        <f>IF($A156="","",IF(AH156="No",0,IF(RESUMEN!$B$4="Saldo por pagar al fabricante",AA156,IF(RESUMEN!$B$4="Monto completo del pedido",P156,IF(OR($H156="Embarcando",$H156="Embarcado"),N(AA156),N(P156))))))</f>
        <v/>
      </c>
      <c r="AJ156" s="9">
        <f>IF($A156="","",IF(COUNTIF($A$4:$A$200,$A156)&gt;1,"ID_Pedido repetido",IF(N($P156)&lt;=0,"Falta el costo del fabricante",IF($F156="","Falta el proyecto",IF($G156="","Falta el cliente",IF(AND($H156&lt;&gt;"Por confirmar",N($R156)&gt;0,$T156=""),"Falta el estado del anticipo",IF(AND($H156&lt;&gt;"Por confirmar",N($V156)&gt;0,$X156=""),"Falta el estado del balance",IF($E156&gt;1,""&amp;$E156&amp;" equipos en una fila: pártela en una por proyecto",IF(AND($X156="Pendiente",N($V156)&gt;0,$W156=""),"Falta la fecha en que vence el balance",IF(AND($H156&lt;&gt;"Por confirmar",$H156&lt;&gt;"Cerrado",$AI156=0),"Consume 0 de cupo pero no está Por confirmar",""))))))))))</f>
        <v/>
      </c>
      <c r="AK156" s="4" t="n"/>
    </row>
    <row r="157">
      <c r="A157" s="4" t="n"/>
      <c r="B157" s="4" t="n"/>
      <c r="C157" s="4" t="n"/>
      <c r="D157" s="4" t="n"/>
      <c r="E157" s="4" t="n"/>
      <c r="F157" s="4" t="n"/>
      <c r="G157" s="4" t="n"/>
      <c r="H157" s="4" t="n"/>
      <c r="I157" s="5" t="n"/>
      <c r="J157" s="5" t="n"/>
      <c r="K157" s="5" t="n"/>
      <c r="L157" s="5" t="n"/>
      <c r="M157" s="5" t="n"/>
      <c r="N157" s="4" t="n"/>
      <c r="O157" s="4" t="n"/>
      <c r="P157" s="20" t="n"/>
      <c r="Q157" s="30" t="n"/>
      <c r="R157" s="21">
        <f>IF($A157="","",ROUND(P157*Q157,2))</f>
        <v/>
      </c>
      <c r="S157" s="5" t="n"/>
      <c r="T157" s="4" t="n"/>
      <c r="U157" s="5" t="n"/>
      <c r="V157" s="21">
        <f>IF($A157="","",ROUND(P157-R157,2))</f>
        <v/>
      </c>
      <c r="W157" s="5" t="n"/>
      <c r="X157" s="4" t="n"/>
      <c r="Y157" s="5" t="n"/>
      <c r="Z157" s="21">
        <f>IF($A157="","",IF(T157="Pagado",N(R157),0)+IF(X157="Pagado",N(V157),0))</f>
        <v/>
      </c>
      <c r="AA157" s="21">
        <f>IF($A157="","",ROUND(N(P157)-N(Z157),2))</f>
        <v/>
      </c>
      <c r="AB157" s="21">
        <f>IF($A157="","",SUMIF('OTROS COMPONENTES'!$A$4:$A$200,$A157,'OTROS COMPONENTES'!$D$4:$D$200))</f>
        <v/>
      </c>
      <c r="AC157" s="21">
        <f>IF($A157="","",SUMIF('OTROS COMPONENTES'!$A$4:$A$200,$A157,'OTROS COMPONENTES'!$E$4:$E$200))</f>
        <v/>
      </c>
      <c r="AD157" s="21">
        <f>IF($A157="","",ROUND(N(AB157)-N(AC157),2))</f>
        <v/>
      </c>
      <c r="AE157" s="21">
        <f>IF($A157="","",ROUND(N(P157)+N(AB157),2))</f>
        <v/>
      </c>
      <c r="AF157" s="21">
        <f>IF($A157="","",ROUND(N(Z157)+N(AC157),2))</f>
        <v/>
      </c>
      <c r="AG157" s="21">
        <f>IF($A157="","",ROUND(N(AA157)+N(AD157),2))</f>
        <v/>
      </c>
      <c r="AH157" s="9">
        <f>IF($A157="","",IF(OR($H157="Por confirmar",$H157="Cerrado"),"No","Sí"))</f>
        <v/>
      </c>
      <c r="AI157" s="21">
        <f>IF($A157="","",IF(AH157="No",0,IF(RESUMEN!$B$4="Saldo por pagar al fabricante",AA157,IF(RESUMEN!$B$4="Monto completo del pedido",P157,IF(OR($H157="Embarcando",$H157="Embarcado"),N(AA157),N(P157))))))</f>
        <v/>
      </c>
      <c r="AJ157" s="9">
        <f>IF($A157="","",IF(COUNTIF($A$4:$A$200,$A157)&gt;1,"ID_Pedido repetido",IF(N($P157)&lt;=0,"Falta el costo del fabricante",IF($F157="","Falta el proyecto",IF($G157="","Falta el cliente",IF(AND($H157&lt;&gt;"Por confirmar",N($R157)&gt;0,$T157=""),"Falta el estado del anticipo",IF(AND($H157&lt;&gt;"Por confirmar",N($V157)&gt;0,$X157=""),"Falta el estado del balance",IF($E157&gt;1,""&amp;$E157&amp;" equipos en una fila: pártela en una por proyecto",IF(AND($X157="Pendiente",N($V157)&gt;0,$W157=""),"Falta la fecha en que vence el balance",IF(AND($H157&lt;&gt;"Por confirmar",$H157&lt;&gt;"Cerrado",$AI157=0),"Consume 0 de cupo pero no está Por confirmar",""))))))))))</f>
        <v/>
      </c>
      <c r="AK157" s="4" t="n"/>
    </row>
    <row r="158">
      <c r="A158" s="4" t="n"/>
      <c r="B158" s="4" t="n"/>
      <c r="C158" s="4" t="n"/>
      <c r="D158" s="4" t="n"/>
      <c r="E158" s="4" t="n"/>
      <c r="F158" s="4" t="n"/>
      <c r="G158" s="4" t="n"/>
      <c r="H158" s="4" t="n"/>
      <c r="I158" s="5" t="n"/>
      <c r="J158" s="5" t="n"/>
      <c r="K158" s="5" t="n"/>
      <c r="L158" s="5" t="n"/>
      <c r="M158" s="5" t="n"/>
      <c r="N158" s="4" t="n"/>
      <c r="O158" s="4" t="n"/>
      <c r="P158" s="20" t="n"/>
      <c r="Q158" s="30" t="n"/>
      <c r="R158" s="21">
        <f>IF($A158="","",ROUND(P158*Q158,2))</f>
        <v/>
      </c>
      <c r="S158" s="5" t="n"/>
      <c r="T158" s="4" t="n"/>
      <c r="U158" s="5" t="n"/>
      <c r="V158" s="21">
        <f>IF($A158="","",ROUND(P158-R158,2))</f>
        <v/>
      </c>
      <c r="W158" s="5" t="n"/>
      <c r="X158" s="4" t="n"/>
      <c r="Y158" s="5" t="n"/>
      <c r="Z158" s="21">
        <f>IF($A158="","",IF(T158="Pagado",N(R158),0)+IF(X158="Pagado",N(V158),0))</f>
        <v/>
      </c>
      <c r="AA158" s="21">
        <f>IF($A158="","",ROUND(N(P158)-N(Z158),2))</f>
        <v/>
      </c>
      <c r="AB158" s="21">
        <f>IF($A158="","",SUMIF('OTROS COMPONENTES'!$A$4:$A$200,$A158,'OTROS COMPONENTES'!$D$4:$D$200))</f>
        <v/>
      </c>
      <c r="AC158" s="21">
        <f>IF($A158="","",SUMIF('OTROS COMPONENTES'!$A$4:$A$200,$A158,'OTROS COMPONENTES'!$E$4:$E$200))</f>
        <v/>
      </c>
      <c r="AD158" s="21">
        <f>IF($A158="","",ROUND(N(AB158)-N(AC158),2))</f>
        <v/>
      </c>
      <c r="AE158" s="21">
        <f>IF($A158="","",ROUND(N(P158)+N(AB158),2))</f>
        <v/>
      </c>
      <c r="AF158" s="21">
        <f>IF($A158="","",ROUND(N(Z158)+N(AC158),2))</f>
        <v/>
      </c>
      <c r="AG158" s="21">
        <f>IF($A158="","",ROUND(N(AA158)+N(AD158),2))</f>
        <v/>
      </c>
      <c r="AH158" s="9">
        <f>IF($A158="","",IF(OR($H158="Por confirmar",$H158="Cerrado"),"No","Sí"))</f>
        <v/>
      </c>
      <c r="AI158" s="21">
        <f>IF($A158="","",IF(AH158="No",0,IF(RESUMEN!$B$4="Saldo por pagar al fabricante",AA158,IF(RESUMEN!$B$4="Monto completo del pedido",P158,IF(OR($H158="Embarcando",$H158="Embarcado"),N(AA158),N(P158))))))</f>
        <v/>
      </c>
      <c r="AJ158" s="9">
        <f>IF($A158="","",IF(COUNTIF($A$4:$A$200,$A158)&gt;1,"ID_Pedido repetido",IF(N($P158)&lt;=0,"Falta el costo del fabricante",IF($F158="","Falta el proyecto",IF($G158="","Falta el cliente",IF(AND($H158&lt;&gt;"Por confirmar",N($R158)&gt;0,$T158=""),"Falta el estado del anticipo",IF(AND($H158&lt;&gt;"Por confirmar",N($V158)&gt;0,$X158=""),"Falta el estado del balance",IF($E158&gt;1,""&amp;$E158&amp;" equipos en una fila: pártela en una por proyecto",IF(AND($X158="Pendiente",N($V158)&gt;0,$W158=""),"Falta la fecha en que vence el balance",IF(AND($H158&lt;&gt;"Por confirmar",$H158&lt;&gt;"Cerrado",$AI158=0),"Consume 0 de cupo pero no está Por confirmar",""))))))))))</f>
        <v/>
      </c>
      <c r="AK158" s="4" t="n"/>
    </row>
    <row r="159">
      <c r="A159" s="4" t="n"/>
      <c r="B159" s="4" t="n"/>
      <c r="C159" s="4" t="n"/>
      <c r="D159" s="4" t="n"/>
      <c r="E159" s="4" t="n"/>
      <c r="F159" s="4" t="n"/>
      <c r="G159" s="4" t="n"/>
      <c r="H159" s="4" t="n"/>
      <c r="I159" s="5" t="n"/>
      <c r="J159" s="5" t="n"/>
      <c r="K159" s="5" t="n"/>
      <c r="L159" s="5" t="n"/>
      <c r="M159" s="5" t="n"/>
      <c r="N159" s="4" t="n"/>
      <c r="O159" s="4" t="n"/>
      <c r="P159" s="20" t="n"/>
      <c r="Q159" s="30" t="n"/>
      <c r="R159" s="21">
        <f>IF($A159="","",ROUND(P159*Q159,2))</f>
        <v/>
      </c>
      <c r="S159" s="5" t="n"/>
      <c r="T159" s="4" t="n"/>
      <c r="U159" s="5" t="n"/>
      <c r="V159" s="21">
        <f>IF($A159="","",ROUND(P159-R159,2))</f>
        <v/>
      </c>
      <c r="W159" s="5" t="n"/>
      <c r="X159" s="4" t="n"/>
      <c r="Y159" s="5" t="n"/>
      <c r="Z159" s="21">
        <f>IF($A159="","",IF(T159="Pagado",N(R159),0)+IF(X159="Pagado",N(V159),0))</f>
        <v/>
      </c>
      <c r="AA159" s="21">
        <f>IF($A159="","",ROUND(N(P159)-N(Z159),2))</f>
        <v/>
      </c>
      <c r="AB159" s="21">
        <f>IF($A159="","",SUMIF('OTROS COMPONENTES'!$A$4:$A$200,$A159,'OTROS COMPONENTES'!$D$4:$D$200))</f>
        <v/>
      </c>
      <c r="AC159" s="21">
        <f>IF($A159="","",SUMIF('OTROS COMPONENTES'!$A$4:$A$200,$A159,'OTROS COMPONENTES'!$E$4:$E$200))</f>
        <v/>
      </c>
      <c r="AD159" s="21">
        <f>IF($A159="","",ROUND(N(AB159)-N(AC159),2))</f>
        <v/>
      </c>
      <c r="AE159" s="21">
        <f>IF($A159="","",ROUND(N(P159)+N(AB159),2))</f>
        <v/>
      </c>
      <c r="AF159" s="21">
        <f>IF($A159="","",ROUND(N(Z159)+N(AC159),2))</f>
        <v/>
      </c>
      <c r="AG159" s="21">
        <f>IF($A159="","",ROUND(N(AA159)+N(AD159),2))</f>
        <v/>
      </c>
      <c r="AH159" s="9">
        <f>IF($A159="","",IF(OR($H159="Por confirmar",$H159="Cerrado"),"No","Sí"))</f>
        <v/>
      </c>
      <c r="AI159" s="21">
        <f>IF($A159="","",IF(AH159="No",0,IF(RESUMEN!$B$4="Saldo por pagar al fabricante",AA159,IF(RESUMEN!$B$4="Monto completo del pedido",P159,IF(OR($H159="Embarcando",$H159="Embarcado"),N(AA159),N(P159))))))</f>
        <v/>
      </c>
      <c r="AJ159" s="9">
        <f>IF($A159="","",IF(COUNTIF($A$4:$A$200,$A159)&gt;1,"ID_Pedido repetido",IF(N($P159)&lt;=0,"Falta el costo del fabricante",IF($F159="","Falta el proyecto",IF($G159="","Falta el cliente",IF(AND($H159&lt;&gt;"Por confirmar",N($R159)&gt;0,$T159=""),"Falta el estado del anticipo",IF(AND($H159&lt;&gt;"Por confirmar",N($V159)&gt;0,$X159=""),"Falta el estado del balance",IF($E159&gt;1,""&amp;$E159&amp;" equipos en una fila: pártela en una por proyecto",IF(AND($X159="Pendiente",N($V159)&gt;0,$W159=""),"Falta la fecha en que vence el balance",IF(AND($H159&lt;&gt;"Por confirmar",$H159&lt;&gt;"Cerrado",$AI159=0),"Consume 0 de cupo pero no está Por confirmar",""))))))))))</f>
        <v/>
      </c>
      <c r="AK159" s="4" t="n"/>
    </row>
    <row r="160">
      <c r="A160" s="4" t="n"/>
      <c r="B160" s="4" t="n"/>
      <c r="C160" s="4" t="n"/>
      <c r="D160" s="4" t="n"/>
      <c r="E160" s="4" t="n"/>
      <c r="F160" s="4" t="n"/>
      <c r="G160" s="4" t="n"/>
      <c r="H160" s="4" t="n"/>
      <c r="I160" s="5" t="n"/>
      <c r="J160" s="5" t="n"/>
      <c r="K160" s="5" t="n"/>
      <c r="L160" s="5" t="n"/>
      <c r="M160" s="5" t="n"/>
      <c r="N160" s="4" t="n"/>
      <c r="O160" s="4" t="n"/>
      <c r="P160" s="20" t="n"/>
      <c r="Q160" s="30" t="n"/>
      <c r="R160" s="21">
        <f>IF($A160="","",ROUND(P160*Q160,2))</f>
        <v/>
      </c>
      <c r="S160" s="5" t="n"/>
      <c r="T160" s="4" t="n"/>
      <c r="U160" s="5" t="n"/>
      <c r="V160" s="21">
        <f>IF($A160="","",ROUND(P160-R160,2))</f>
        <v/>
      </c>
      <c r="W160" s="5" t="n"/>
      <c r="X160" s="4" t="n"/>
      <c r="Y160" s="5" t="n"/>
      <c r="Z160" s="21">
        <f>IF($A160="","",IF(T160="Pagado",N(R160),0)+IF(X160="Pagado",N(V160),0))</f>
        <v/>
      </c>
      <c r="AA160" s="21">
        <f>IF($A160="","",ROUND(N(P160)-N(Z160),2))</f>
        <v/>
      </c>
      <c r="AB160" s="21">
        <f>IF($A160="","",SUMIF('OTROS COMPONENTES'!$A$4:$A$200,$A160,'OTROS COMPONENTES'!$D$4:$D$200))</f>
        <v/>
      </c>
      <c r="AC160" s="21">
        <f>IF($A160="","",SUMIF('OTROS COMPONENTES'!$A$4:$A$200,$A160,'OTROS COMPONENTES'!$E$4:$E$200))</f>
        <v/>
      </c>
      <c r="AD160" s="21">
        <f>IF($A160="","",ROUND(N(AB160)-N(AC160),2))</f>
        <v/>
      </c>
      <c r="AE160" s="21">
        <f>IF($A160="","",ROUND(N(P160)+N(AB160),2))</f>
        <v/>
      </c>
      <c r="AF160" s="21">
        <f>IF($A160="","",ROUND(N(Z160)+N(AC160),2))</f>
        <v/>
      </c>
      <c r="AG160" s="21">
        <f>IF($A160="","",ROUND(N(AA160)+N(AD160),2))</f>
        <v/>
      </c>
      <c r="AH160" s="9">
        <f>IF($A160="","",IF(OR($H160="Por confirmar",$H160="Cerrado"),"No","Sí"))</f>
        <v/>
      </c>
      <c r="AI160" s="21">
        <f>IF($A160="","",IF(AH160="No",0,IF(RESUMEN!$B$4="Saldo por pagar al fabricante",AA160,IF(RESUMEN!$B$4="Monto completo del pedido",P160,IF(OR($H160="Embarcando",$H160="Embarcado"),N(AA160),N(P160))))))</f>
        <v/>
      </c>
      <c r="AJ160" s="9">
        <f>IF($A160="","",IF(COUNTIF($A$4:$A$200,$A160)&gt;1,"ID_Pedido repetido",IF(N($P160)&lt;=0,"Falta el costo del fabricante",IF($F160="","Falta el proyecto",IF($G160="","Falta el cliente",IF(AND($H160&lt;&gt;"Por confirmar",N($R160)&gt;0,$T160=""),"Falta el estado del anticipo",IF(AND($H160&lt;&gt;"Por confirmar",N($V160)&gt;0,$X160=""),"Falta el estado del balance",IF($E160&gt;1,""&amp;$E160&amp;" equipos en una fila: pártela en una por proyecto",IF(AND($X160="Pendiente",N($V160)&gt;0,$W160=""),"Falta la fecha en que vence el balance",IF(AND($H160&lt;&gt;"Por confirmar",$H160&lt;&gt;"Cerrado",$AI160=0),"Consume 0 de cupo pero no está Por confirmar",""))))))))))</f>
        <v/>
      </c>
      <c r="AK160" s="4" t="n"/>
    </row>
    <row r="161">
      <c r="A161" s="4" t="n"/>
      <c r="B161" s="4" t="n"/>
      <c r="C161" s="4" t="n"/>
      <c r="D161" s="4" t="n"/>
      <c r="E161" s="4" t="n"/>
      <c r="F161" s="4" t="n"/>
      <c r="G161" s="4" t="n"/>
      <c r="H161" s="4" t="n"/>
      <c r="I161" s="5" t="n"/>
      <c r="J161" s="5" t="n"/>
      <c r="K161" s="5" t="n"/>
      <c r="L161" s="5" t="n"/>
      <c r="M161" s="5" t="n"/>
      <c r="N161" s="4" t="n"/>
      <c r="O161" s="4" t="n"/>
      <c r="P161" s="20" t="n"/>
      <c r="Q161" s="30" t="n"/>
      <c r="R161" s="21">
        <f>IF($A161="","",ROUND(P161*Q161,2))</f>
        <v/>
      </c>
      <c r="S161" s="5" t="n"/>
      <c r="T161" s="4" t="n"/>
      <c r="U161" s="5" t="n"/>
      <c r="V161" s="21">
        <f>IF($A161="","",ROUND(P161-R161,2))</f>
        <v/>
      </c>
      <c r="W161" s="5" t="n"/>
      <c r="X161" s="4" t="n"/>
      <c r="Y161" s="5" t="n"/>
      <c r="Z161" s="21">
        <f>IF($A161="","",IF(T161="Pagado",N(R161),0)+IF(X161="Pagado",N(V161),0))</f>
        <v/>
      </c>
      <c r="AA161" s="21">
        <f>IF($A161="","",ROUND(N(P161)-N(Z161),2))</f>
        <v/>
      </c>
      <c r="AB161" s="21">
        <f>IF($A161="","",SUMIF('OTROS COMPONENTES'!$A$4:$A$200,$A161,'OTROS COMPONENTES'!$D$4:$D$200))</f>
        <v/>
      </c>
      <c r="AC161" s="21">
        <f>IF($A161="","",SUMIF('OTROS COMPONENTES'!$A$4:$A$200,$A161,'OTROS COMPONENTES'!$E$4:$E$200))</f>
        <v/>
      </c>
      <c r="AD161" s="21">
        <f>IF($A161="","",ROUND(N(AB161)-N(AC161),2))</f>
        <v/>
      </c>
      <c r="AE161" s="21">
        <f>IF($A161="","",ROUND(N(P161)+N(AB161),2))</f>
        <v/>
      </c>
      <c r="AF161" s="21">
        <f>IF($A161="","",ROUND(N(Z161)+N(AC161),2))</f>
        <v/>
      </c>
      <c r="AG161" s="21">
        <f>IF($A161="","",ROUND(N(AA161)+N(AD161),2))</f>
        <v/>
      </c>
      <c r="AH161" s="9">
        <f>IF($A161="","",IF(OR($H161="Por confirmar",$H161="Cerrado"),"No","Sí"))</f>
        <v/>
      </c>
      <c r="AI161" s="21">
        <f>IF($A161="","",IF(AH161="No",0,IF(RESUMEN!$B$4="Saldo por pagar al fabricante",AA161,IF(RESUMEN!$B$4="Monto completo del pedido",P161,IF(OR($H161="Embarcando",$H161="Embarcado"),N(AA161),N(P161))))))</f>
        <v/>
      </c>
      <c r="AJ161" s="9">
        <f>IF($A161="","",IF(COUNTIF($A$4:$A$200,$A161)&gt;1,"ID_Pedido repetido",IF(N($P161)&lt;=0,"Falta el costo del fabricante",IF($F161="","Falta el proyecto",IF($G161="","Falta el cliente",IF(AND($H161&lt;&gt;"Por confirmar",N($R161)&gt;0,$T161=""),"Falta el estado del anticipo",IF(AND($H161&lt;&gt;"Por confirmar",N($V161)&gt;0,$X161=""),"Falta el estado del balance",IF($E161&gt;1,""&amp;$E161&amp;" equipos en una fila: pártela en una por proyecto",IF(AND($X161="Pendiente",N($V161)&gt;0,$W161=""),"Falta la fecha en que vence el balance",IF(AND($H161&lt;&gt;"Por confirmar",$H161&lt;&gt;"Cerrado",$AI161=0),"Consume 0 de cupo pero no está Por confirmar",""))))))))))</f>
        <v/>
      </c>
      <c r="AK161" s="4" t="n"/>
    </row>
    <row r="162">
      <c r="A162" s="4" t="n"/>
      <c r="B162" s="4" t="n"/>
      <c r="C162" s="4" t="n"/>
      <c r="D162" s="4" t="n"/>
      <c r="E162" s="4" t="n"/>
      <c r="F162" s="4" t="n"/>
      <c r="G162" s="4" t="n"/>
      <c r="H162" s="4" t="n"/>
      <c r="I162" s="5" t="n"/>
      <c r="J162" s="5" t="n"/>
      <c r="K162" s="5" t="n"/>
      <c r="L162" s="5" t="n"/>
      <c r="M162" s="5" t="n"/>
      <c r="N162" s="4" t="n"/>
      <c r="O162" s="4" t="n"/>
      <c r="P162" s="20" t="n"/>
      <c r="Q162" s="30" t="n"/>
      <c r="R162" s="21">
        <f>IF($A162="","",ROUND(P162*Q162,2))</f>
        <v/>
      </c>
      <c r="S162" s="5" t="n"/>
      <c r="T162" s="4" t="n"/>
      <c r="U162" s="5" t="n"/>
      <c r="V162" s="21">
        <f>IF($A162="","",ROUND(P162-R162,2))</f>
        <v/>
      </c>
      <c r="W162" s="5" t="n"/>
      <c r="X162" s="4" t="n"/>
      <c r="Y162" s="5" t="n"/>
      <c r="Z162" s="21">
        <f>IF($A162="","",IF(T162="Pagado",N(R162),0)+IF(X162="Pagado",N(V162),0))</f>
        <v/>
      </c>
      <c r="AA162" s="21">
        <f>IF($A162="","",ROUND(N(P162)-N(Z162),2))</f>
        <v/>
      </c>
      <c r="AB162" s="21">
        <f>IF($A162="","",SUMIF('OTROS COMPONENTES'!$A$4:$A$200,$A162,'OTROS COMPONENTES'!$D$4:$D$200))</f>
        <v/>
      </c>
      <c r="AC162" s="21">
        <f>IF($A162="","",SUMIF('OTROS COMPONENTES'!$A$4:$A$200,$A162,'OTROS COMPONENTES'!$E$4:$E$200))</f>
        <v/>
      </c>
      <c r="AD162" s="21">
        <f>IF($A162="","",ROUND(N(AB162)-N(AC162),2))</f>
        <v/>
      </c>
      <c r="AE162" s="21">
        <f>IF($A162="","",ROUND(N(P162)+N(AB162),2))</f>
        <v/>
      </c>
      <c r="AF162" s="21">
        <f>IF($A162="","",ROUND(N(Z162)+N(AC162),2))</f>
        <v/>
      </c>
      <c r="AG162" s="21">
        <f>IF($A162="","",ROUND(N(AA162)+N(AD162),2))</f>
        <v/>
      </c>
      <c r="AH162" s="9">
        <f>IF($A162="","",IF(OR($H162="Por confirmar",$H162="Cerrado"),"No","Sí"))</f>
        <v/>
      </c>
      <c r="AI162" s="21">
        <f>IF($A162="","",IF(AH162="No",0,IF(RESUMEN!$B$4="Saldo por pagar al fabricante",AA162,IF(RESUMEN!$B$4="Monto completo del pedido",P162,IF(OR($H162="Embarcando",$H162="Embarcado"),N(AA162),N(P162))))))</f>
        <v/>
      </c>
      <c r="AJ162" s="9">
        <f>IF($A162="","",IF(COUNTIF($A$4:$A$200,$A162)&gt;1,"ID_Pedido repetido",IF(N($P162)&lt;=0,"Falta el costo del fabricante",IF($F162="","Falta el proyecto",IF($G162="","Falta el cliente",IF(AND($H162&lt;&gt;"Por confirmar",N($R162)&gt;0,$T162=""),"Falta el estado del anticipo",IF(AND($H162&lt;&gt;"Por confirmar",N($V162)&gt;0,$X162=""),"Falta el estado del balance",IF($E162&gt;1,""&amp;$E162&amp;" equipos en una fila: pártela en una por proyecto",IF(AND($X162="Pendiente",N($V162)&gt;0,$W162=""),"Falta la fecha en que vence el balance",IF(AND($H162&lt;&gt;"Por confirmar",$H162&lt;&gt;"Cerrado",$AI162=0),"Consume 0 de cupo pero no está Por confirmar",""))))))))))</f>
        <v/>
      </c>
      <c r="AK162" s="4" t="n"/>
    </row>
    <row r="163">
      <c r="A163" s="4" t="n"/>
      <c r="B163" s="4" t="n"/>
      <c r="C163" s="4" t="n"/>
      <c r="D163" s="4" t="n"/>
      <c r="E163" s="4" t="n"/>
      <c r="F163" s="4" t="n"/>
      <c r="G163" s="4" t="n"/>
      <c r="H163" s="4" t="n"/>
      <c r="I163" s="5" t="n"/>
      <c r="J163" s="5" t="n"/>
      <c r="K163" s="5" t="n"/>
      <c r="L163" s="5" t="n"/>
      <c r="M163" s="5" t="n"/>
      <c r="N163" s="4" t="n"/>
      <c r="O163" s="4" t="n"/>
      <c r="P163" s="20" t="n"/>
      <c r="Q163" s="30" t="n"/>
      <c r="R163" s="21">
        <f>IF($A163="","",ROUND(P163*Q163,2))</f>
        <v/>
      </c>
      <c r="S163" s="5" t="n"/>
      <c r="T163" s="4" t="n"/>
      <c r="U163" s="5" t="n"/>
      <c r="V163" s="21">
        <f>IF($A163="","",ROUND(P163-R163,2))</f>
        <v/>
      </c>
      <c r="W163" s="5" t="n"/>
      <c r="X163" s="4" t="n"/>
      <c r="Y163" s="5" t="n"/>
      <c r="Z163" s="21">
        <f>IF($A163="","",IF(T163="Pagado",N(R163),0)+IF(X163="Pagado",N(V163),0))</f>
        <v/>
      </c>
      <c r="AA163" s="21">
        <f>IF($A163="","",ROUND(N(P163)-N(Z163),2))</f>
        <v/>
      </c>
      <c r="AB163" s="21">
        <f>IF($A163="","",SUMIF('OTROS COMPONENTES'!$A$4:$A$200,$A163,'OTROS COMPONENTES'!$D$4:$D$200))</f>
        <v/>
      </c>
      <c r="AC163" s="21">
        <f>IF($A163="","",SUMIF('OTROS COMPONENTES'!$A$4:$A$200,$A163,'OTROS COMPONENTES'!$E$4:$E$200))</f>
        <v/>
      </c>
      <c r="AD163" s="21">
        <f>IF($A163="","",ROUND(N(AB163)-N(AC163),2))</f>
        <v/>
      </c>
      <c r="AE163" s="21">
        <f>IF($A163="","",ROUND(N(P163)+N(AB163),2))</f>
        <v/>
      </c>
      <c r="AF163" s="21">
        <f>IF($A163="","",ROUND(N(Z163)+N(AC163),2))</f>
        <v/>
      </c>
      <c r="AG163" s="21">
        <f>IF($A163="","",ROUND(N(AA163)+N(AD163),2))</f>
        <v/>
      </c>
      <c r="AH163" s="9">
        <f>IF($A163="","",IF(OR($H163="Por confirmar",$H163="Cerrado"),"No","Sí"))</f>
        <v/>
      </c>
      <c r="AI163" s="21">
        <f>IF($A163="","",IF(AH163="No",0,IF(RESUMEN!$B$4="Saldo por pagar al fabricante",AA163,IF(RESUMEN!$B$4="Monto completo del pedido",P163,IF(OR($H163="Embarcando",$H163="Embarcado"),N(AA163),N(P163))))))</f>
        <v/>
      </c>
      <c r="AJ163" s="9">
        <f>IF($A163="","",IF(COUNTIF($A$4:$A$200,$A163)&gt;1,"ID_Pedido repetido",IF(N($P163)&lt;=0,"Falta el costo del fabricante",IF($F163="","Falta el proyecto",IF($G163="","Falta el cliente",IF(AND($H163&lt;&gt;"Por confirmar",N($R163)&gt;0,$T163=""),"Falta el estado del anticipo",IF(AND($H163&lt;&gt;"Por confirmar",N($V163)&gt;0,$X163=""),"Falta el estado del balance",IF($E163&gt;1,""&amp;$E163&amp;" equipos en una fila: pártela en una por proyecto",IF(AND($X163="Pendiente",N($V163)&gt;0,$W163=""),"Falta la fecha en que vence el balance",IF(AND($H163&lt;&gt;"Por confirmar",$H163&lt;&gt;"Cerrado",$AI163=0),"Consume 0 de cupo pero no está Por confirmar",""))))))))))</f>
        <v/>
      </c>
      <c r="AK163" s="4" t="n"/>
    </row>
    <row r="164">
      <c r="A164" s="4" t="n"/>
      <c r="B164" s="4" t="n"/>
      <c r="C164" s="4" t="n"/>
      <c r="D164" s="4" t="n"/>
      <c r="E164" s="4" t="n"/>
      <c r="F164" s="4" t="n"/>
      <c r="G164" s="4" t="n"/>
      <c r="H164" s="4" t="n"/>
      <c r="I164" s="5" t="n"/>
      <c r="J164" s="5" t="n"/>
      <c r="K164" s="5" t="n"/>
      <c r="L164" s="5" t="n"/>
      <c r="M164" s="5" t="n"/>
      <c r="N164" s="4" t="n"/>
      <c r="O164" s="4" t="n"/>
      <c r="P164" s="20" t="n"/>
      <c r="Q164" s="30" t="n"/>
      <c r="R164" s="21">
        <f>IF($A164="","",ROUND(P164*Q164,2))</f>
        <v/>
      </c>
      <c r="S164" s="5" t="n"/>
      <c r="T164" s="4" t="n"/>
      <c r="U164" s="5" t="n"/>
      <c r="V164" s="21">
        <f>IF($A164="","",ROUND(P164-R164,2))</f>
        <v/>
      </c>
      <c r="W164" s="5" t="n"/>
      <c r="X164" s="4" t="n"/>
      <c r="Y164" s="5" t="n"/>
      <c r="Z164" s="21">
        <f>IF($A164="","",IF(T164="Pagado",N(R164),0)+IF(X164="Pagado",N(V164),0))</f>
        <v/>
      </c>
      <c r="AA164" s="21">
        <f>IF($A164="","",ROUND(N(P164)-N(Z164),2))</f>
        <v/>
      </c>
      <c r="AB164" s="21">
        <f>IF($A164="","",SUMIF('OTROS COMPONENTES'!$A$4:$A$200,$A164,'OTROS COMPONENTES'!$D$4:$D$200))</f>
        <v/>
      </c>
      <c r="AC164" s="21">
        <f>IF($A164="","",SUMIF('OTROS COMPONENTES'!$A$4:$A$200,$A164,'OTROS COMPONENTES'!$E$4:$E$200))</f>
        <v/>
      </c>
      <c r="AD164" s="21">
        <f>IF($A164="","",ROUND(N(AB164)-N(AC164),2))</f>
        <v/>
      </c>
      <c r="AE164" s="21">
        <f>IF($A164="","",ROUND(N(P164)+N(AB164),2))</f>
        <v/>
      </c>
      <c r="AF164" s="21">
        <f>IF($A164="","",ROUND(N(Z164)+N(AC164),2))</f>
        <v/>
      </c>
      <c r="AG164" s="21">
        <f>IF($A164="","",ROUND(N(AA164)+N(AD164),2))</f>
        <v/>
      </c>
      <c r="AH164" s="9">
        <f>IF($A164="","",IF(OR($H164="Por confirmar",$H164="Cerrado"),"No","Sí"))</f>
        <v/>
      </c>
      <c r="AI164" s="21">
        <f>IF($A164="","",IF(AH164="No",0,IF(RESUMEN!$B$4="Saldo por pagar al fabricante",AA164,IF(RESUMEN!$B$4="Monto completo del pedido",P164,IF(OR($H164="Embarcando",$H164="Embarcado"),N(AA164),N(P164))))))</f>
        <v/>
      </c>
      <c r="AJ164" s="9">
        <f>IF($A164="","",IF(COUNTIF($A$4:$A$200,$A164)&gt;1,"ID_Pedido repetido",IF(N($P164)&lt;=0,"Falta el costo del fabricante",IF($F164="","Falta el proyecto",IF($G164="","Falta el cliente",IF(AND($H164&lt;&gt;"Por confirmar",N($R164)&gt;0,$T164=""),"Falta el estado del anticipo",IF(AND($H164&lt;&gt;"Por confirmar",N($V164)&gt;0,$X164=""),"Falta el estado del balance",IF($E164&gt;1,""&amp;$E164&amp;" equipos en una fila: pártela en una por proyecto",IF(AND($X164="Pendiente",N($V164)&gt;0,$W164=""),"Falta la fecha en que vence el balance",IF(AND($H164&lt;&gt;"Por confirmar",$H164&lt;&gt;"Cerrado",$AI164=0),"Consume 0 de cupo pero no está Por confirmar",""))))))))))</f>
        <v/>
      </c>
      <c r="AK164" s="4" t="n"/>
    </row>
    <row r="165">
      <c r="A165" s="4" t="n"/>
      <c r="B165" s="4" t="n"/>
      <c r="C165" s="4" t="n"/>
      <c r="D165" s="4" t="n"/>
      <c r="E165" s="4" t="n"/>
      <c r="F165" s="4" t="n"/>
      <c r="G165" s="4" t="n"/>
      <c r="H165" s="4" t="n"/>
      <c r="I165" s="5" t="n"/>
      <c r="J165" s="5" t="n"/>
      <c r="K165" s="5" t="n"/>
      <c r="L165" s="5" t="n"/>
      <c r="M165" s="5" t="n"/>
      <c r="N165" s="4" t="n"/>
      <c r="O165" s="4" t="n"/>
      <c r="P165" s="20" t="n"/>
      <c r="Q165" s="30" t="n"/>
      <c r="R165" s="21">
        <f>IF($A165="","",ROUND(P165*Q165,2))</f>
        <v/>
      </c>
      <c r="S165" s="5" t="n"/>
      <c r="T165" s="4" t="n"/>
      <c r="U165" s="5" t="n"/>
      <c r="V165" s="21">
        <f>IF($A165="","",ROUND(P165-R165,2))</f>
        <v/>
      </c>
      <c r="W165" s="5" t="n"/>
      <c r="X165" s="4" t="n"/>
      <c r="Y165" s="5" t="n"/>
      <c r="Z165" s="21">
        <f>IF($A165="","",IF(T165="Pagado",N(R165),0)+IF(X165="Pagado",N(V165),0))</f>
        <v/>
      </c>
      <c r="AA165" s="21">
        <f>IF($A165="","",ROUND(N(P165)-N(Z165),2))</f>
        <v/>
      </c>
      <c r="AB165" s="21">
        <f>IF($A165="","",SUMIF('OTROS COMPONENTES'!$A$4:$A$200,$A165,'OTROS COMPONENTES'!$D$4:$D$200))</f>
        <v/>
      </c>
      <c r="AC165" s="21">
        <f>IF($A165="","",SUMIF('OTROS COMPONENTES'!$A$4:$A$200,$A165,'OTROS COMPONENTES'!$E$4:$E$200))</f>
        <v/>
      </c>
      <c r="AD165" s="21">
        <f>IF($A165="","",ROUND(N(AB165)-N(AC165),2))</f>
        <v/>
      </c>
      <c r="AE165" s="21">
        <f>IF($A165="","",ROUND(N(P165)+N(AB165),2))</f>
        <v/>
      </c>
      <c r="AF165" s="21">
        <f>IF($A165="","",ROUND(N(Z165)+N(AC165),2))</f>
        <v/>
      </c>
      <c r="AG165" s="21">
        <f>IF($A165="","",ROUND(N(AA165)+N(AD165),2))</f>
        <v/>
      </c>
      <c r="AH165" s="9">
        <f>IF($A165="","",IF(OR($H165="Por confirmar",$H165="Cerrado"),"No","Sí"))</f>
        <v/>
      </c>
      <c r="AI165" s="21">
        <f>IF($A165="","",IF(AH165="No",0,IF(RESUMEN!$B$4="Saldo por pagar al fabricante",AA165,IF(RESUMEN!$B$4="Monto completo del pedido",P165,IF(OR($H165="Embarcando",$H165="Embarcado"),N(AA165),N(P165))))))</f>
        <v/>
      </c>
      <c r="AJ165" s="9">
        <f>IF($A165="","",IF(COUNTIF($A$4:$A$200,$A165)&gt;1,"ID_Pedido repetido",IF(N($P165)&lt;=0,"Falta el costo del fabricante",IF($F165="","Falta el proyecto",IF($G165="","Falta el cliente",IF(AND($H165&lt;&gt;"Por confirmar",N($R165)&gt;0,$T165=""),"Falta el estado del anticipo",IF(AND($H165&lt;&gt;"Por confirmar",N($V165)&gt;0,$X165=""),"Falta el estado del balance",IF($E165&gt;1,""&amp;$E165&amp;" equipos en una fila: pártela en una por proyecto",IF(AND($X165="Pendiente",N($V165)&gt;0,$W165=""),"Falta la fecha en que vence el balance",IF(AND($H165&lt;&gt;"Por confirmar",$H165&lt;&gt;"Cerrado",$AI165=0),"Consume 0 de cupo pero no está Por confirmar",""))))))))))</f>
        <v/>
      </c>
      <c r="AK165" s="4" t="n"/>
    </row>
    <row r="166">
      <c r="A166" s="4" t="n"/>
      <c r="B166" s="4" t="n"/>
      <c r="C166" s="4" t="n"/>
      <c r="D166" s="4" t="n"/>
      <c r="E166" s="4" t="n"/>
      <c r="F166" s="4" t="n"/>
      <c r="G166" s="4" t="n"/>
      <c r="H166" s="4" t="n"/>
      <c r="I166" s="5" t="n"/>
      <c r="J166" s="5" t="n"/>
      <c r="K166" s="5" t="n"/>
      <c r="L166" s="5" t="n"/>
      <c r="M166" s="5" t="n"/>
      <c r="N166" s="4" t="n"/>
      <c r="O166" s="4" t="n"/>
      <c r="P166" s="20" t="n"/>
      <c r="Q166" s="30" t="n"/>
      <c r="R166" s="21">
        <f>IF($A166="","",ROUND(P166*Q166,2))</f>
        <v/>
      </c>
      <c r="S166" s="5" t="n"/>
      <c r="T166" s="4" t="n"/>
      <c r="U166" s="5" t="n"/>
      <c r="V166" s="21">
        <f>IF($A166="","",ROUND(P166-R166,2))</f>
        <v/>
      </c>
      <c r="W166" s="5" t="n"/>
      <c r="X166" s="4" t="n"/>
      <c r="Y166" s="5" t="n"/>
      <c r="Z166" s="21">
        <f>IF($A166="","",IF(T166="Pagado",N(R166),0)+IF(X166="Pagado",N(V166),0))</f>
        <v/>
      </c>
      <c r="AA166" s="21">
        <f>IF($A166="","",ROUND(N(P166)-N(Z166),2))</f>
        <v/>
      </c>
      <c r="AB166" s="21">
        <f>IF($A166="","",SUMIF('OTROS COMPONENTES'!$A$4:$A$200,$A166,'OTROS COMPONENTES'!$D$4:$D$200))</f>
        <v/>
      </c>
      <c r="AC166" s="21">
        <f>IF($A166="","",SUMIF('OTROS COMPONENTES'!$A$4:$A$200,$A166,'OTROS COMPONENTES'!$E$4:$E$200))</f>
        <v/>
      </c>
      <c r="AD166" s="21">
        <f>IF($A166="","",ROUND(N(AB166)-N(AC166),2))</f>
        <v/>
      </c>
      <c r="AE166" s="21">
        <f>IF($A166="","",ROUND(N(P166)+N(AB166),2))</f>
        <v/>
      </c>
      <c r="AF166" s="21">
        <f>IF($A166="","",ROUND(N(Z166)+N(AC166),2))</f>
        <v/>
      </c>
      <c r="AG166" s="21">
        <f>IF($A166="","",ROUND(N(AA166)+N(AD166),2))</f>
        <v/>
      </c>
      <c r="AH166" s="9">
        <f>IF($A166="","",IF(OR($H166="Por confirmar",$H166="Cerrado"),"No","Sí"))</f>
        <v/>
      </c>
      <c r="AI166" s="21">
        <f>IF($A166="","",IF(AH166="No",0,IF(RESUMEN!$B$4="Saldo por pagar al fabricante",AA166,IF(RESUMEN!$B$4="Monto completo del pedido",P166,IF(OR($H166="Embarcando",$H166="Embarcado"),N(AA166),N(P166))))))</f>
        <v/>
      </c>
      <c r="AJ166" s="9">
        <f>IF($A166="","",IF(COUNTIF($A$4:$A$200,$A166)&gt;1,"ID_Pedido repetido",IF(N($P166)&lt;=0,"Falta el costo del fabricante",IF($F166="","Falta el proyecto",IF($G166="","Falta el cliente",IF(AND($H166&lt;&gt;"Por confirmar",N($R166)&gt;0,$T166=""),"Falta el estado del anticipo",IF(AND($H166&lt;&gt;"Por confirmar",N($V166)&gt;0,$X166=""),"Falta el estado del balance",IF($E166&gt;1,""&amp;$E166&amp;" equipos en una fila: pártela en una por proyecto",IF(AND($X166="Pendiente",N($V166)&gt;0,$W166=""),"Falta la fecha en que vence el balance",IF(AND($H166&lt;&gt;"Por confirmar",$H166&lt;&gt;"Cerrado",$AI166=0),"Consume 0 de cupo pero no está Por confirmar",""))))))))))</f>
        <v/>
      </c>
      <c r="AK166" s="4" t="n"/>
    </row>
    <row r="167">
      <c r="A167" s="4" t="n"/>
      <c r="B167" s="4" t="n"/>
      <c r="C167" s="4" t="n"/>
      <c r="D167" s="4" t="n"/>
      <c r="E167" s="4" t="n"/>
      <c r="F167" s="4" t="n"/>
      <c r="G167" s="4" t="n"/>
      <c r="H167" s="4" t="n"/>
      <c r="I167" s="5" t="n"/>
      <c r="J167" s="5" t="n"/>
      <c r="K167" s="5" t="n"/>
      <c r="L167" s="5" t="n"/>
      <c r="M167" s="5" t="n"/>
      <c r="N167" s="4" t="n"/>
      <c r="O167" s="4" t="n"/>
      <c r="P167" s="20" t="n"/>
      <c r="Q167" s="30" t="n"/>
      <c r="R167" s="21">
        <f>IF($A167="","",ROUND(P167*Q167,2))</f>
        <v/>
      </c>
      <c r="S167" s="5" t="n"/>
      <c r="T167" s="4" t="n"/>
      <c r="U167" s="5" t="n"/>
      <c r="V167" s="21">
        <f>IF($A167="","",ROUND(P167-R167,2))</f>
        <v/>
      </c>
      <c r="W167" s="5" t="n"/>
      <c r="X167" s="4" t="n"/>
      <c r="Y167" s="5" t="n"/>
      <c r="Z167" s="21">
        <f>IF($A167="","",IF(T167="Pagado",N(R167),0)+IF(X167="Pagado",N(V167),0))</f>
        <v/>
      </c>
      <c r="AA167" s="21">
        <f>IF($A167="","",ROUND(N(P167)-N(Z167),2))</f>
        <v/>
      </c>
      <c r="AB167" s="21">
        <f>IF($A167="","",SUMIF('OTROS COMPONENTES'!$A$4:$A$200,$A167,'OTROS COMPONENTES'!$D$4:$D$200))</f>
        <v/>
      </c>
      <c r="AC167" s="21">
        <f>IF($A167="","",SUMIF('OTROS COMPONENTES'!$A$4:$A$200,$A167,'OTROS COMPONENTES'!$E$4:$E$200))</f>
        <v/>
      </c>
      <c r="AD167" s="21">
        <f>IF($A167="","",ROUND(N(AB167)-N(AC167),2))</f>
        <v/>
      </c>
      <c r="AE167" s="21">
        <f>IF($A167="","",ROUND(N(P167)+N(AB167),2))</f>
        <v/>
      </c>
      <c r="AF167" s="21">
        <f>IF($A167="","",ROUND(N(Z167)+N(AC167),2))</f>
        <v/>
      </c>
      <c r="AG167" s="21">
        <f>IF($A167="","",ROUND(N(AA167)+N(AD167),2))</f>
        <v/>
      </c>
      <c r="AH167" s="9">
        <f>IF($A167="","",IF(OR($H167="Por confirmar",$H167="Cerrado"),"No","Sí"))</f>
        <v/>
      </c>
      <c r="AI167" s="21">
        <f>IF($A167="","",IF(AH167="No",0,IF(RESUMEN!$B$4="Saldo por pagar al fabricante",AA167,IF(RESUMEN!$B$4="Monto completo del pedido",P167,IF(OR($H167="Embarcando",$H167="Embarcado"),N(AA167),N(P167))))))</f>
        <v/>
      </c>
      <c r="AJ167" s="9">
        <f>IF($A167="","",IF(COUNTIF($A$4:$A$200,$A167)&gt;1,"ID_Pedido repetido",IF(N($P167)&lt;=0,"Falta el costo del fabricante",IF($F167="","Falta el proyecto",IF($G167="","Falta el cliente",IF(AND($H167&lt;&gt;"Por confirmar",N($R167)&gt;0,$T167=""),"Falta el estado del anticipo",IF(AND($H167&lt;&gt;"Por confirmar",N($V167)&gt;0,$X167=""),"Falta el estado del balance",IF($E167&gt;1,""&amp;$E167&amp;" equipos en una fila: pártela en una por proyecto",IF(AND($X167="Pendiente",N($V167)&gt;0,$W167=""),"Falta la fecha en que vence el balance",IF(AND($H167&lt;&gt;"Por confirmar",$H167&lt;&gt;"Cerrado",$AI167=0),"Consume 0 de cupo pero no está Por confirmar",""))))))))))</f>
        <v/>
      </c>
      <c r="AK167" s="4" t="n"/>
    </row>
    <row r="168">
      <c r="A168" s="4" t="n"/>
      <c r="B168" s="4" t="n"/>
      <c r="C168" s="4" t="n"/>
      <c r="D168" s="4" t="n"/>
      <c r="E168" s="4" t="n"/>
      <c r="F168" s="4" t="n"/>
      <c r="G168" s="4" t="n"/>
      <c r="H168" s="4" t="n"/>
      <c r="I168" s="5" t="n"/>
      <c r="J168" s="5" t="n"/>
      <c r="K168" s="5" t="n"/>
      <c r="L168" s="5" t="n"/>
      <c r="M168" s="5" t="n"/>
      <c r="N168" s="4" t="n"/>
      <c r="O168" s="4" t="n"/>
      <c r="P168" s="20" t="n"/>
      <c r="Q168" s="30" t="n"/>
      <c r="R168" s="21">
        <f>IF($A168="","",ROUND(P168*Q168,2))</f>
        <v/>
      </c>
      <c r="S168" s="5" t="n"/>
      <c r="T168" s="4" t="n"/>
      <c r="U168" s="5" t="n"/>
      <c r="V168" s="21">
        <f>IF($A168="","",ROUND(P168-R168,2))</f>
        <v/>
      </c>
      <c r="W168" s="5" t="n"/>
      <c r="X168" s="4" t="n"/>
      <c r="Y168" s="5" t="n"/>
      <c r="Z168" s="21">
        <f>IF($A168="","",IF(T168="Pagado",N(R168),0)+IF(X168="Pagado",N(V168),0))</f>
        <v/>
      </c>
      <c r="AA168" s="21">
        <f>IF($A168="","",ROUND(N(P168)-N(Z168),2))</f>
        <v/>
      </c>
      <c r="AB168" s="21">
        <f>IF($A168="","",SUMIF('OTROS COMPONENTES'!$A$4:$A$200,$A168,'OTROS COMPONENTES'!$D$4:$D$200))</f>
        <v/>
      </c>
      <c r="AC168" s="21">
        <f>IF($A168="","",SUMIF('OTROS COMPONENTES'!$A$4:$A$200,$A168,'OTROS COMPONENTES'!$E$4:$E$200))</f>
        <v/>
      </c>
      <c r="AD168" s="21">
        <f>IF($A168="","",ROUND(N(AB168)-N(AC168),2))</f>
        <v/>
      </c>
      <c r="AE168" s="21">
        <f>IF($A168="","",ROUND(N(P168)+N(AB168),2))</f>
        <v/>
      </c>
      <c r="AF168" s="21">
        <f>IF($A168="","",ROUND(N(Z168)+N(AC168),2))</f>
        <v/>
      </c>
      <c r="AG168" s="21">
        <f>IF($A168="","",ROUND(N(AA168)+N(AD168),2))</f>
        <v/>
      </c>
      <c r="AH168" s="9">
        <f>IF($A168="","",IF(OR($H168="Por confirmar",$H168="Cerrado"),"No","Sí"))</f>
        <v/>
      </c>
      <c r="AI168" s="21">
        <f>IF($A168="","",IF(AH168="No",0,IF(RESUMEN!$B$4="Saldo por pagar al fabricante",AA168,IF(RESUMEN!$B$4="Monto completo del pedido",P168,IF(OR($H168="Embarcando",$H168="Embarcado"),N(AA168),N(P168))))))</f>
        <v/>
      </c>
      <c r="AJ168" s="9">
        <f>IF($A168="","",IF(COUNTIF($A$4:$A$200,$A168)&gt;1,"ID_Pedido repetido",IF(N($P168)&lt;=0,"Falta el costo del fabricante",IF($F168="","Falta el proyecto",IF($G168="","Falta el cliente",IF(AND($H168&lt;&gt;"Por confirmar",N($R168)&gt;0,$T168=""),"Falta el estado del anticipo",IF(AND($H168&lt;&gt;"Por confirmar",N($V168)&gt;0,$X168=""),"Falta el estado del balance",IF($E168&gt;1,""&amp;$E168&amp;" equipos en una fila: pártela en una por proyecto",IF(AND($X168="Pendiente",N($V168)&gt;0,$W168=""),"Falta la fecha en que vence el balance",IF(AND($H168&lt;&gt;"Por confirmar",$H168&lt;&gt;"Cerrado",$AI168=0),"Consume 0 de cupo pero no está Por confirmar",""))))))))))</f>
        <v/>
      </c>
      <c r="AK168" s="4" t="n"/>
    </row>
    <row r="169">
      <c r="A169" s="4" t="n"/>
      <c r="B169" s="4" t="n"/>
      <c r="C169" s="4" t="n"/>
      <c r="D169" s="4" t="n"/>
      <c r="E169" s="4" t="n"/>
      <c r="F169" s="4" t="n"/>
      <c r="G169" s="4" t="n"/>
      <c r="H169" s="4" t="n"/>
      <c r="I169" s="5" t="n"/>
      <c r="J169" s="5" t="n"/>
      <c r="K169" s="5" t="n"/>
      <c r="L169" s="5" t="n"/>
      <c r="M169" s="5" t="n"/>
      <c r="N169" s="4" t="n"/>
      <c r="O169" s="4" t="n"/>
      <c r="P169" s="20" t="n"/>
      <c r="Q169" s="30" t="n"/>
      <c r="R169" s="21">
        <f>IF($A169="","",ROUND(P169*Q169,2))</f>
        <v/>
      </c>
      <c r="S169" s="5" t="n"/>
      <c r="T169" s="4" t="n"/>
      <c r="U169" s="5" t="n"/>
      <c r="V169" s="21">
        <f>IF($A169="","",ROUND(P169-R169,2))</f>
        <v/>
      </c>
      <c r="W169" s="5" t="n"/>
      <c r="X169" s="4" t="n"/>
      <c r="Y169" s="5" t="n"/>
      <c r="Z169" s="21">
        <f>IF($A169="","",IF(T169="Pagado",N(R169),0)+IF(X169="Pagado",N(V169),0))</f>
        <v/>
      </c>
      <c r="AA169" s="21">
        <f>IF($A169="","",ROUND(N(P169)-N(Z169),2))</f>
        <v/>
      </c>
      <c r="AB169" s="21">
        <f>IF($A169="","",SUMIF('OTROS COMPONENTES'!$A$4:$A$200,$A169,'OTROS COMPONENTES'!$D$4:$D$200))</f>
        <v/>
      </c>
      <c r="AC169" s="21">
        <f>IF($A169="","",SUMIF('OTROS COMPONENTES'!$A$4:$A$200,$A169,'OTROS COMPONENTES'!$E$4:$E$200))</f>
        <v/>
      </c>
      <c r="AD169" s="21">
        <f>IF($A169="","",ROUND(N(AB169)-N(AC169),2))</f>
        <v/>
      </c>
      <c r="AE169" s="21">
        <f>IF($A169="","",ROUND(N(P169)+N(AB169),2))</f>
        <v/>
      </c>
      <c r="AF169" s="21">
        <f>IF($A169="","",ROUND(N(Z169)+N(AC169),2))</f>
        <v/>
      </c>
      <c r="AG169" s="21">
        <f>IF($A169="","",ROUND(N(AA169)+N(AD169),2))</f>
        <v/>
      </c>
      <c r="AH169" s="9">
        <f>IF($A169="","",IF(OR($H169="Por confirmar",$H169="Cerrado"),"No","Sí"))</f>
        <v/>
      </c>
      <c r="AI169" s="21">
        <f>IF($A169="","",IF(AH169="No",0,IF(RESUMEN!$B$4="Saldo por pagar al fabricante",AA169,IF(RESUMEN!$B$4="Monto completo del pedido",P169,IF(OR($H169="Embarcando",$H169="Embarcado"),N(AA169),N(P169))))))</f>
        <v/>
      </c>
      <c r="AJ169" s="9">
        <f>IF($A169="","",IF(COUNTIF($A$4:$A$200,$A169)&gt;1,"ID_Pedido repetido",IF(N($P169)&lt;=0,"Falta el costo del fabricante",IF($F169="","Falta el proyecto",IF($G169="","Falta el cliente",IF(AND($H169&lt;&gt;"Por confirmar",N($R169)&gt;0,$T169=""),"Falta el estado del anticipo",IF(AND($H169&lt;&gt;"Por confirmar",N($V169)&gt;0,$X169=""),"Falta el estado del balance",IF($E169&gt;1,""&amp;$E169&amp;" equipos en una fila: pártela en una por proyecto",IF(AND($X169="Pendiente",N($V169)&gt;0,$W169=""),"Falta la fecha en que vence el balance",IF(AND($H169&lt;&gt;"Por confirmar",$H169&lt;&gt;"Cerrado",$AI169=0),"Consume 0 de cupo pero no está Por confirmar",""))))))))))</f>
        <v/>
      </c>
      <c r="AK169" s="4" t="n"/>
    </row>
    <row r="170">
      <c r="A170" s="4" t="n"/>
      <c r="B170" s="4" t="n"/>
      <c r="C170" s="4" t="n"/>
      <c r="D170" s="4" t="n"/>
      <c r="E170" s="4" t="n"/>
      <c r="F170" s="4" t="n"/>
      <c r="G170" s="4" t="n"/>
      <c r="H170" s="4" t="n"/>
      <c r="I170" s="5" t="n"/>
      <c r="J170" s="5" t="n"/>
      <c r="K170" s="5" t="n"/>
      <c r="L170" s="5" t="n"/>
      <c r="M170" s="5" t="n"/>
      <c r="N170" s="4" t="n"/>
      <c r="O170" s="4" t="n"/>
      <c r="P170" s="20" t="n"/>
      <c r="Q170" s="30" t="n"/>
      <c r="R170" s="21">
        <f>IF($A170="","",ROUND(P170*Q170,2))</f>
        <v/>
      </c>
      <c r="S170" s="5" t="n"/>
      <c r="T170" s="4" t="n"/>
      <c r="U170" s="5" t="n"/>
      <c r="V170" s="21">
        <f>IF($A170="","",ROUND(P170-R170,2))</f>
        <v/>
      </c>
      <c r="W170" s="5" t="n"/>
      <c r="X170" s="4" t="n"/>
      <c r="Y170" s="5" t="n"/>
      <c r="Z170" s="21">
        <f>IF($A170="","",IF(T170="Pagado",N(R170),0)+IF(X170="Pagado",N(V170),0))</f>
        <v/>
      </c>
      <c r="AA170" s="21">
        <f>IF($A170="","",ROUND(N(P170)-N(Z170),2))</f>
        <v/>
      </c>
      <c r="AB170" s="21">
        <f>IF($A170="","",SUMIF('OTROS COMPONENTES'!$A$4:$A$200,$A170,'OTROS COMPONENTES'!$D$4:$D$200))</f>
        <v/>
      </c>
      <c r="AC170" s="21">
        <f>IF($A170="","",SUMIF('OTROS COMPONENTES'!$A$4:$A$200,$A170,'OTROS COMPONENTES'!$E$4:$E$200))</f>
        <v/>
      </c>
      <c r="AD170" s="21">
        <f>IF($A170="","",ROUND(N(AB170)-N(AC170),2))</f>
        <v/>
      </c>
      <c r="AE170" s="21">
        <f>IF($A170="","",ROUND(N(P170)+N(AB170),2))</f>
        <v/>
      </c>
      <c r="AF170" s="21">
        <f>IF($A170="","",ROUND(N(Z170)+N(AC170),2))</f>
        <v/>
      </c>
      <c r="AG170" s="21">
        <f>IF($A170="","",ROUND(N(AA170)+N(AD170),2))</f>
        <v/>
      </c>
      <c r="AH170" s="9">
        <f>IF($A170="","",IF(OR($H170="Por confirmar",$H170="Cerrado"),"No","Sí"))</f>
        <v/>
      </c>
      <c r="AI170" s="21">
        <f>IF($A170="","",IF(AH170="No",0,IF(RESUMEN!$B$4="Saldo por pagar al fabricante",AA170,IF(RESUMEN!$B$4="Monto completo del pedido",P170,IF(OR($H170="Embarcando",$H170="Embarcado"),N(AA170),N(P170))))))</f>
        <v/>
      </c>
      <c r="AJ170" s="9">
        <f>IF($A170="","",IF(COUNTIF($A$4:$A$200,$A170)&gt;1,"ID_Pedido repetido",IF(N($P170)&lt;=0,"Falta el costo del fabricante",IF($F170="","Falta el proyecto",IF($G170="","Falta el cliente",IF(AND($H170&lt;&gt;"Por confirmar",N($R170)&gt;0,$T170=""),"Falta el estado del anticipo",IF(AND($H170&lt;&gt;"Por confirmar",N($V170)&gt;0,$X170=""),"Falta el estado del balance",IF($E170&gt;1,""&amp;$E170&amp;" equipos en una fila: pártela en una por proyecto",IF(AND($X170="Pendiente",N($V170)&gt;0,$W170=""),"Falta la fecha en que vence el balance",IF(AND($H170&lt;&gt;"Por confirmar",$H170&lt;&gt;"Cerrado",$AI170=0),"Consume 0 de cupo pero no está Por confirmar",""))))))))))</f>
        <v/>
      </c>
      <c r="AK170" s="4" t="n"/>
    </row>
    <row r="171">
      <c r="A171" s="4" t="n"/>
      <c r="B171" s="4" t="n"/>
      <c r="C171" s="4" t="n"/>
      <c r="D171" s="4" t="n"/>
      <c r="E171" s="4" t="n"/>
      <c r="F171" s="4" t="n"/>
      <c r="G171" s="4" t="n"/>
      <c r="H171" s="4" t="n"/>
      <c r="I171" s="5" t="n"/>
      <c r="J171" s="5" t="n"/>
      <c r="K171" s="5" t="n"/>
      <c r="L171" s="5" t="n"/>
      <c r="M171" s="5" t="n"/>
      <c r="N171" s="4" t="n"/>
      <c r="O171" s="4" t="n"/>
      <c r="P171" s="20" t="n"/>
      <c r="Q171" s="30" t="n"/>
      <c r="R171" s="21">
        <f>IF($A171="","",ROUND(P171*Q171,2))</f>
        <v/>
      </c>
      <c r="S171" s="5" t="n"/>
      <c r="T171" s="4" t="n"/>
      <c r="U171" s="5" t="n"/>
      <c r="V171" s="21">
        <f>IF($A171="","",ROUND(P171-R171,2))</f>
        <v/>
      </c>
      <c r="W171" s="5" t="n"/>
      <c r="X171" s="4" t="n"/>
      <c r="Y171" s="5" t="n"/>
      <c r="Z171" s="21">
        <f>IF($A171="","",IF(T171="Pagado",N(R171),0)+IF(X171="Pagado",N(V171),0))</f>
        <v/>
      </c>
      <c r="AA171" s="21">
        <f>IF($A171="","",ROUND(N(P171)-N(Z171),2))</f>
        <v/>
      </c>
      <c r="AB171" s="21">
        <f>IF($A171="","",SUMIF('OTROS COMPONENTES'!$A$4:$A$200,$A171,'OTROS COMPONENTES'!$D$4:$D$200))</f>
        <v/>
      </c>
      <c r="AC171" s="21">
        <f>IF($A171="","",SUMIF('OTROS COMPONENTES'!$A$4:$A$200,$A171,'OTROS COMPONENTES'!$E$4:$E$200))</f>
        <v/>
      </c>
      <c r="AD171" s="21">
        <f>IF($A171="","",ROUND(N(AB171)-N(AC171),2))</f>
        <v/>
      </c>
      <c r="AE171" s="21">
        <f>IF($A171="","",ROUND(N(P171)+N(AB171),2))</f>
        <v/>
      </c>
      <c r="AF171" s="21">
        <f>IF($A171="","",ROUND(N(Z171)+N(AC171),2))</f>
        <v/>
      </c>
      <c r="AG171" s="21">
        <f>IF($A171="","",ROUND(N(AA171)+N(AD171),2))</f>
        <v/>
      </c>
      <c r="AH171" s="9">
        <f>IF($A171="","",IF(OR($H171="Por confirmar",$H171="Cerrado"),"No","Sí"))</f>
        <v/>
      </c>
      <c r="AI171" s="21">
        <f>IF($A171="","",IF(AH171="No",0,IF(RESUMEN!$B$4="Saldo por pagar al fabricante",AA171,IF(RESUMEN!$B$4="Monto completo del pedido",P171,IF(OR($H171="Embarcando",$H171="Embarcado"),N(AA171),N(P171))))))</f>
        <v/>
      </c>
      <c r="AJ171" s="9">
        <f>IF($A171="","",IF(COUNTIF($A$4:$A$200,$A171)&gt;1,"ID_Pedido repetido",IF(N($P171)&lt;=0,"Falta el costo del fabricante",IF($F171="","Falta el proyecto",IF($G171="","Falta el cliente",IF(AND($H171&lt;&gt;"Por confirmar",N($R171)&gt;0,$T171=""),"Falta el estado del anticipo",IF(AND($H171&lt;&gt;"Por confirmar",N($V171)&gt;0,$X171=""),"Falta el estado del balance",IF($E171&gt;1,""&amp;$E171&amp;" equipos en una fila: pártela en una por proyecto",IF(AND($X171="Pendiente",N($V171)&gt;0,$W171=""),"Falta la fecha en que vence el balance",IF(AND($H171&lt;&gt;"Por confirmar",$H171&lt;&gt;"Cerrado",$AI171=0),"Consume 0 de cupo pero no está Por confirmar",""))))))))))</f>
        <v/>
      </c>
      <c r="AK171" s="4" t="n"/>
    </row>
    <row r="172">
      <c r="A172" s="4" t="n"/>
      <c r="B172" s="4" t="n"/>
      <c r="C172" s="4" t="n"/>
      <c r="D172" s="4" t="n"/>
      <c r="E172" s="4" t="n"/>
      <c r="F172" s="4" t="n"/>
      <c r="G172" s="4" t="n"/>
      <c r="H172" s="4" t="n"/>
      <c r="I172" s="5" t="n"/>
      <c r="J172" s="5" t="n"/>
      <c r="K172" s="5" t="n"/>
      <c r="L172" s="5" t="n"/>
      <c r="M172" s="5" t="n"/>
      <c r="N172" s="4" t="n"/>
      <c r="O172" s="4" t="n"/>
      <c r="P172" s="20" t="n"/>
      <c r="Q172" s="30" t="n"/>
      <c r="R172" s="21">
        <f>IF($A172="","",ROUND(P172*Q172,2))</f>
        <v/>
      </c>
      <c r="S172" s="5" t="n"/>
      <c r="T172" s="4" t="n"/>
      <c r="U172" s="5" t="n"/>
      <c r="V172" s="21">
        <f>IF($A172="","",ROUND(P172-R172,2))</f>
        <v/>
      </c>
      <c r="W172" s="5" t="n"/>
      <c r="X172" s="4" t="n"/>
      <c r="Y172" s="5" t="n"/>
      <c r="Z172" s="21">
        <f>IF($A172="","",IF(T172="Pagado",N(R172),0)+IF(X172="Pagado",N(V172),0))</f>
        <v/>
      </c>
      <c r="AA172" s="21">
        <f>IF($A172="","",ROUND(N(P172)-N(Z172),2))</f>
        <v/>
      </c>
      <c r="AB172" s="21">
        <f>IF($A172="","",SUMIF('OTROS COMPONENTES'!$A$4:$A$200,$A172,'OTROS COMPONENTES'!$D$4:$D$200))</f>
        <v/>
      </c>
      <c r="AC172" s="21">
        <f>IF($A172="","",SUMIF('OTROS COMPONENTES'!$A$4:$A$200,$A172,'OTROS COMPONENTES'!$E$4:$E$200))</f>
        <v/>
      </c>
      <c r="AD172" s="21">
        <f>IF($A172="","",ROUND(N(AB172)-N(AC172),2))</f>
        <v/>
      </c>
      <c r="AE172" s="21">
        <f>IF($A172="","",ROUND(N(P172)+N(AB172),2))</f>
        <v/>
      </c>
      <c r="AF172" s="21">
        <f>IF($A172="","",ROUND(N(Z172)+N(AC172),2))</f>
        <v/>
      </c>
      <c r="AG172" s="21">
        <f>IF($A172="","",ROUND(N(AA172)+N(AD172),2))</f>
        <v/>
      </c>
      <c r="AH172" s="9">
        <f>IF($A172="","",IF(OR($H172="Por confirmar",$H172="Cerrado"),"No","Sí"))</f>
        <v/>
      </c>
      <c r="AI172" s="21">
        <f>IF($A172="","",IF(AH172="No",0,IF(RESUMEN!$B$4="Saldo por pagar al fabricante",AA172,IF(RESUMEN!$B$4="Monto completo del pedido",P172,IF(OR($H172="Embarcando",$H172="Embarcado"),N(AA172),N(P172))))))</f>
        <v/>
      </c>
      <c r="AJ172" s="9">
        <f>IF($A172="","",IF(COUNTIF($A$4:$A$200,$A172)&gt;1,"ID_Pedido repetido",IF(N($P172)&lt;=0,"Falta el costo del fabricante",IF($F172="","Falta el proyecto",IF($G172="","Falta el cliente",IF(AND($H172&lt;&gt;"Por confirmar",N($R172)&gt;0,$T172=""),"Falta el estado del anticipo",IF(AND($H172&lt;&gt;"Por confirmar",N($V172)&gt;0,$X172=""),"Falta el estado del balance",IF($E172&gt;1,""&amp;$E172&amp;" equipos en una fila: pártela en una por proyecto",IF(AND($X172="Pendiente",N($V172)&gt;0,$W172=""),"Falta la fecha en que vence el balance",IF(AND($H172&lt;&gt;"Por confirmar",$H172&lt;&gt;"Cerrado",$AI172=0),"Consume 0 de cupo pero no está Por confirmar",""))))))))))</f>
        <v/>
      </c>
      <c r="AK172" s="4" t="n"/>
    </row>
    <row r="173">
      <c r="A173" s="4" t="n"/>
      <c r="B173" s="4" t="n"/>
      <c r="C173" s="4" t="n"/>
      <c r="D173" s="4" t="n"/>
      <c r="E173" s="4" t="n"/>
      <c r="F173" s="4" t="n"/>
      <c r="G173" s="4" t="n"/>
      <c r="H173" s="4" t="n"/>
      <c r="I173" s="5" t="n"/>
      <c r="J173" s="5" t="n"/>
      <c r="K173" s="5" t="n"/>
      <c r="L173" s="5" t="n"/>
      <c r="M173" s="5" t="n"/>
      <c r="N173" s="4" t="n"/>
      <c r="O173" s="4" t="n"/>
      <c r="P173" s="20" t="n"/>
      <c r="Q173" s="30" t="n"/>
      <c r="R173" s="21">
        <f>IF($A173="","",ROUND(P173*Q173,2))</f>
        <v/>
      </c>
      <c r="S173" s="5" t="n"/>
      <c r="T173" s="4" t="n"/>
      <c r="U173" s="5" t="n"/>
      <c r="V173" s="21">
        <f>IF($A173="","",ROUND(P173-R173,2))</f>
        <v/>
      </c>
      <c r="W173" s="5" t="n"/>
      <c r="X173" s="4" t="n"/>
      <c r="Y173" s="5" t="n"/>
      <c r="Z173" s="21">
        <f>IF($A173="","",IF(T173="Pagado",N(R173),0)+IF(X173="Pagado",N(V173),0))</f>
        <v/>
      </c>
      <c r="AA173" s="21">
        <f>IF($A173="","",ROUND(N(P173)-N(Z173),2))</f>
        <v/>
      </c>
      <c r="AB173" s="21">
        <f>IF($A173="","",SUMIF('OTROS COMPONENTES'!$A$4:$A$200,$A173,'OTROS COMPONENTES'!$D$4:$D$200))</f>
        <v/>
      </c>
      <c r="AC173" s="21">
        <f>IF($A173="","",SUMIF('OTROS COMPONENTES'!$A$4:$A$200,$A173,'OTROS COMPONENTES'!$E$4:$E$200))</f>
        <v/>
      </c>
      <c r="AD173" s="21">
        <f>IF($A173="","",ROUND(N(AB173)-N(AC173),2))</f>
        <v/>
      </c>
      <c r="AE173" s="21">
        <f>IF($A173="","",ROUND(N(P173)+N(AB173),2))</f>
        <v/>
      </c>
      <c r="AF173" s="21">
        <f>IF($A173="","",ROUND(N(Z173)+N(AC173),2))</f>
        <v/>
      </c>
      <c r="AG173" s="21">
        <f>IF($A173="","",ROUND(N(AA173)+N(AD173),2))</f>
        <v/>
      </c>
      <c r="AH173" s="9">
        <f>IF($A173="","",IF(OR($H173="Por confirmar",$H173="Cerrado"),"No","Sí"))</f>
        <v/>
      </c>
      <c r="AI173" s="21">
        <f>IF($A173="","",IF(AH173="No",0,IF(RESUMEN!$B$4="Saldo por pagar al fabricante",AA173,IF(RESUMEN!$B$4="Monto completo del pedido",P173,IF(OR($H173="Embarcando",$H173="Embarcado"),N(AA173),N(P173))))))</f>
        <v/>
      </c>
      <c r="AJ173" s="9">
        <f>IF($A173="","",IF(COUNTIF($A$4:$A$200,$A173)&gt;1,"ID_Pedido repetido",IF(N($P173)&lt;=0,"Falta el costo del fabricante",IF($F173="","Falta el proyecto",IF($G173="","Falta el cliente",IF(AND($H173&lt;&gt;"Por confirmar",N($R173)&gt;0,$T173=""),"Falta el estado del anticipo",IF(AND($H173&lt;&gt;"Por confirmar",N($V173)&gt;0,$X173=""),"Falta el estado del balance",IF($E173&gt;1,""&amp;$E173&amp;" equipos en una fila: pártela en una por proyecto",IF(AND($X173="Pendiente",N($V173)&gt;0,$W173=""),"Falta la fecha en que vence el balance",IF(AND($H173&lt;&gt;"Por confirmar",$H173&lt;&gt;"Cerrado",$AI173=0),"Consume 0 de cupo pero no está Por confirmar",""))))))))))</f>
        <v/>
      </c>
      <c r="AK173" s="4" t="n"/>
    </row>
    <row r="174">
      <c r="A174" s="4" t="n"/>
      <c r="B174" s="4" t="n"/>
      <c r="C174" s="4" t="n"/>
      <c r="D174" s="4" t="n"/>
      <c r="E174" s="4" t="n"/>
      <c r="F174" s="4" t="n"/>
      <c r="G174" s="4" t="n"/>
      <c r="H174" s="4" t="n"/>
      <c r="I174" s="5" t="n"/>
      <c r="J174" s="5" t="n"/>
      <c r="K174" s="5" t="n"/>
      <c r="L174" s="5" t="n"/>
      <c r="M174" s="5" t="n"/>
      <c r="N174" s="4" t="n"/>
      <c r="O174" s="4" t="n"/>
      <c r="P174" s="20" t="n"/>
      <c r="Q174" s="30" t="n"/>
      <c r="R174" s="21">
        <f>IF($A174="","",ROUND(P174*Q174,2))</f>
        <v/>
      </c>
      <c r="S174" s="5" t="n"/>
      <c r="T174" s="4" t="n"/>
      <c r="U174" s="5" t="n"/>
      <c r="V174" s="21">
        <f>IF($A174="","",ROUND(P174-R174,2))</f>
        <v/>
      </c>
      <c r="W174" s="5" t="n"/>
      <c r="X174" s="4" t="n"/>
      <c r="Y174" s="5" t="n"/>
      <c r="Z174" s="21">
        <f>IF($A174="","",IF(T174="Pagado",N(R174),0)+IF(X174="Pagado",N(V174),0))</f>
        <v/>
      </c>
      <c r="AA174" s="21">
        <f>IF($A174="","",ROUND(N(P174)-N(Z174),2))</f>
        <v/>
      </c>
      <c r="AB174" s="21">
        <f>IF($A174="","",SUMIF('OTROS COMPONENTES'!$A$4:$A$200,$A174,'OTROS COMPONENTES'!$D$4:$D$200))</f>
        <v/>
      </c>
      <c r="AC174" s="21">
        <f>IF($A174="","",SUMIF('OTROS COMPONENTES'!$A$4:$A$200,$A174,'OTROS COMPONENTES'!$E$4:$E$200))</f>
        <v/>
      </c>
      <c r="AD174" s="21">
        <f>IF($A174="","",ROUND(N(AB174)-N(AC174),2))</f>
        <v/>
      </c>
      <c r="AE174" s="21">
        <f>IF($A174="","",ROUND(N(P174)+N(AB174),2))</f>
        <v/>
      </c>
      <c r="AF174" s="21">
        <f>IF($A174="","",ROUND(N(Z174)+N(AC174),2))</f>
        <v/>
      </c>
      <c r="AG174" s="21">
        <f>IF($A174="","",ROUND(N(AA174)+N(AD174),2))</f>
        <v/>
      </c>
      <c r="AH174" s="9">
        <f>IF($A174="","",IF(OR($H174="Por confirmar",$H174="Cerrado"),"No","Sí"))</f>
        <v/>
      </c>
      <c r="AI174" s="21">
        <f>IF($A174="","",IF(AH174="No",0,IF(RESUMEN!$B$4="Saldo por pagar al fabricante",AA174,IF(RESUMEN!$B$4="Monto completo del pedido",P174,IF(OR($H174="Embarcando",$H174="Embarcado"),N(AA174),N(P174))))))</f>
        <v/>
      </c>
      <c r="AJ174" s="9">
        <f>IF($A174="","",IF(COUNTIF($A$4:$A$200,$A174)&gt;1,"ID_Pedido repetido",IF(N($P174)&lt;=0,"Falta el costo del fabricante",IF($F174="","Falta el proyecto",IF($G174="","Falta el cliente",IF(AND($H174&lt;&gt;"Por confirmar",N($R174)&gt;0,$T174=""),"Falta el estado del anticipo",IF(AND($H174&lt;&gt;"Por confirmar",N($V174)&gt;0,$X174=""),"Falta el estado del balance",IF($E174&gt;1,""&amp;$E174&amp;" equipos en una fila: pártela en una por proyecto",IF(AND($X174="Pendiente",N($V174)&gt;0,$W174=""),"Falta la fecha en que vence el balance",IF(AND($H174&lt;&gt;"Por confirmar",$H174&lt;&gt;"Cerrado",$AI174=0),"Consume 0 de cupo pero no está Por confirmar",""))))))))))</f>
        <v/>
      </c>
      <c r="AK174" s="4" t="n"/>
    </row>
    <row r="175">
      <c r="A175" s="4" t="n"/>
      <c r="B175" s="4" t="n"/>
      <c r="C175" s="4" t="n"/>
      <c r="D175" s="4" t="n"/>
      <c r="E175" s="4" t="n"/>
      <c r="F175" s="4" t="n"/>
      <c r="G175" s="4" t="n"/>
      <c r="H175" s="4" t="n"/>
      <c r="I175" s="5" t="n"/>
      <c r="J175" s="5" t="n"/>
      <c r="K175" s="5" t="n"/>
      <c r="L175" s="5" t="n"/>
      <c r="M175" s="5" t="n"/>
      <c r="N175" s="4" t="n"/>
      <c r="O175" s="4" t="n"/>
      <c r="P175" s="20" t="n"/>
      <c r="Q175" s="30" t="n"/>
      <c r="R175" s="21">
        <f>IF($A175="","",ROUND(P175*Q175,2))</f>
        <v/>
      </c>
      <c r="S175" s="5" t="n"/>
      <c r="T175" s="4" t="n"/>
      <c r="U175" s="5" t="n"/>
      <c r="V175" s="21">
        <f>IF($A175="","",ROUND(P175-R175,2))</f>
        <v/>
      </c>
      <c r="W175" s="5" t="n"/>
      <c r="X175" s="4" t="n"/>
      <c r="Y175" s="5" t="n"/>
      <c r="Z175" s="21">
        <f>IF($A175="","",IF(T175="Pagado",N(R175),0)+IF(X175="Pagado",N(V175),0))</f>
        <v/>
      </c>
      <c r="AA175" s="21">
        <f>IF($A175="","",ROUND(N(P175)-N(Z175),2))</f>
        <v/>
      </c>
      <c r="AB175" s="21">
        <f>IF($A175="","",SUMIF('OTROS COMPONENTES'!$A$4:$A$200,$A175,'OTROS COMPONENTES'!$D$4:$D$200))</f>
        <v/>
      </c>
      <c r="AC175" s="21">
        <f>IF($A175="","",SUMIF('OTROS COMPONENTES'!$A$4:$A$200,$A175,'OTROS COMPONENTES'!$E$4:$E$200))</f>
        <v/>
      </c>
      <c r="AD175" s="21">
        <f>IF($A175="","",ROUND(N(AB175)-N(AC175),2))</f>
        <v/>
      </c>
      <c r="AE175" s="21">
        <f>IF($A175="","",ROUND(N(P175)+N(AB175),2))</f>
        <v/>
      </c>
      <c r="AF175" s="21">
        <f>IF($A175="","",ROUND(N(Z175)+N(AC175),2))</f>
        <v/>
      </c>
      <c r="AG175" s="21">
        <f>IF($A175="","",ROUND(N(AA175)+N(AD175),2))</f>
        <v/>
      </c>
      <c r="AH175" s="9">
        <f>IF($A175="","",IF(OR($H175="Por confirmar",$H175="Cerrado"),"No","Sí"))</f>
        <v/>
      </c>
      <c r="AI175" s="21">
        <f>IF($A175="","",IF(AH175="No",0,IF(RESUMEN!$B$4="Saldo por pagar al fabricante",AA175,IF(RESUMEN!$B$4="Monto completo del pedido",P175,IF(OR($H175="Embarcando",$H175="Embarcado"),N(AA175),N(P175))))))</f>
        <v/>
      </c>
      <c r="AJ175" s="9">
        <f>IF($A175="","",IF(COUNTIF($A$4:$A$200,$A175)&gt;1,"ID_Pedido repetido",IF(N($P175)&lt;=0,"Falta el costo del fabricante",IF($F175="","Falta el proyecto",IF($G175="","Falta el cliente",IF(AND($H175&lt;&gt;"Por confirmar",N($R175)&gt;0,$T175=""),"Falta el estado del anticipo",IF(AND($H175&lt;&gt;"Por confirmar",N($V175)&gt;0,$X175=""),"Falta el estado del balance",IF($E175&gt;1,""&amp;$E175&amp;" equipos en una fila: pártela en una por proyecto",IF(AND($X175="Pendiente",N($V175)&gt;0,$W175=""),"Falta la fecha en que vence el balance",IF(AND($H175&lt;&gt;"Por confirmar",$H175&lt;&gt;"Cerrado",$AI175=0),"Consume 0 de cupo pero no está Por confirmar",""))))))))))</f>
        <v/>
      </c>
      <c r="AK175" s="4" t="n"/>
    </row>
    <row r="176">
      <c r="A176" s="4" t="n"/>
      <c r="B176" s="4" t="n"/>
      <c r="C176" s="4" t="n"/>
      <c r="D176" s="4" t="n"/>
      <c r="E176" s="4" t="n"/>
      <c r="F176" s="4" t="n"/>
      <c r="G176" s="4" t="n"/>
      <c r="H176" s="4" t="n"/>
      <c r="I176" s="5" t="n"/>
      <c r="J176" s="5" t="n"/>
      <c r="K176" s="5" t="n"/>
      <c r="L176" s="5" t="n"/>
      <c r="M176" s="5" t="n"/>
      <c r="N176" s="4" t="n"/>
      <c r="O176" s="4" t="n"/>
      <c r="P176" s="20" t="n"/>
      <c r="Q176" s="30" t="n"/>
      <c r="R176" s="21">
        <f>IF($A176="","",ROUND(P176*Q176,2))</f>
        <v/>
      </c>
      <c r="S176" s="5" t="n"/>
      <c r="T176" s="4" t="n"/>
      <c r="U176" s="5" t="n"/>
      <c r="V176" s="21">
        <f>IF($A176="","",ROUND(P176-R176,2))</f>
        <v/>
      </c>
      <c r="W176" s="5" t="n"/>
      <c r="X176" s="4" t="n"/>
      <c r="Y176" s="5" t="n"/>
      <c r="Z176" s="21">
        <f>IF($A176="","",IF(T176="Pagado",N(R176),0)+IF(X176="Pagado",N(V176),0))</f>
        <v/>
      </c>
      <c r="AA176" s="21">
        <f>IF($A176="","",ROUND(N(P176)-N(Z176),2))</f>
        <v/>
      </c>
      <c r="AB176" s="21">
        <f>IF($A176="","",SUMIF('OTROS COMPONENTES'!$A$4:$A$200,$A176,'OTROS COMPONENTES'!$D$4:$D$200))</f>
        <v/>
      </c>
      <c r="AC176" s="21">
        <f>IF($A176="","",SUMIF('OTROS COMPONENTES'!$A$4:$A$200,$A176,'OTROS COMPONENTES'!$E$4:$E$200))</f>
        <v/>
      </c>
      <c r="AD176" s="21">
        <f>IF($A176="","",ROUND(N(AB176)-N(AC176),2))</f>
        <v/>
      </c>
      <c r="AE176" s="21">
        <f>IF($A176="","",ROUND(N(P176)+N(AB176),2))</f>
        <v/>
      </c>
      <c r="AF176" s="21">
        <f>IF($A176="","",ROUND(N(Z176)+N(AC176),2))</f>
        <v/>
      </c>
      <c r="AG176" s="21">
        <f>IF($A176="","",ROUND(N(AA176)+N(AD176),2))</f>
        <v/>
      </c>
      <c r="AH176" s="9">
        <f>IF($A176="","",IF(OR($H176="Por confirmar",$H176="Cerrado"),"No","Sí"))</f>
        <v/>
      </c>
      <c r="AI176" s="21">
        <f>IF($A176="","",IF(AH176="No",0,IF(RESUMEN!$B$4="Saldo por pagar al fabricante",AA176,IF(RESUMEN!$B$4="Monto completo del pedido",P176,IF(OR($H176="Embarcando",$H176="Embarcado"),N(AA176),N(P176))))))</f>
        <v/>
      </c>
      <c r="AJ176" s="9">
        <f>IF($A176="","",IF(COUNTIF($A$4:$A$200,$A176)&gt;1,"ID_Pedido repetido",IF(N($P176)&lt;=0,"Falta el costo del fabricante",IF($F176="","Falta el proyecto",IF($G176="","Falta el cliente",IF(AND($H176&lt;&gt;"Por confirmar",N($R176)&gt;0,$T176=""),"Falta el estado del anticipo",IF(AND($H176&lt;&gt;"Por confirmar",N($V176)&gt;0,$X176=""),"Falta el estado del balance",IF($E176&gt;1,""&amp;$E176&amp;" equipos en una fila: pártela en una por proyecto",IF(AND($X176="Pendiente",N($V176)&gt;0,$W176=""),"Falta la fecha en que vence el balance",IF(AND($H176&lt;&gt;"Por confirmar",$H176&lt;&gt;"Cerrado",$AI176=0),"Consume 0 de cupo pero no está Por confirmar",""))))))))))</f>
        <v/>
      </c>
      <c r="AK176" s="4" t="n"/>
    </row>
    <row r="177">
      <c r="A177" s="4" t="n"/>
      <c r="B177" s="4" t="n"/>
      <c r="C177" s="4" t="n"/>
      <c r="D177" s="4" t="n"/>
      <c r="E177" s="4" t="n"/>
      <c r="F177" s="4" t="n"/>
      <c r="G177" s="4" t="n"/>
      <c r="H177" s="4" t="n"/>
      <c r="I177" s="5" t="n"/>
      <c r="J177" s="5" t="n"/>
      <c r="K177" s="5" t="n"/>
      <c r="L177" s="5" t="n"/>
      <c r="M177" s="5" t="n"/>
      <c r="N177" s="4" t="n"/>
      <c r="O177" s="4" t="n"/>
      <c r="P177" s="20" t="n"/>
      <c r="Q177" s="30" t="n"/>
      <c r="R177" s="21">
        <f>IF($A177="","",ROUND(P177*Q177,2))</f>
        <v/>
      </c>
      <c r="S177" s="5" t="n"/>
      <c r="T177" s="4" t="n"/>
      <c r="U177" s="5" t="n"/>
      <c r="V177" s="21">
        <f>IF($A177="","",ROUND(P177-R177,2))</f>
        <v/>
      </c>
      <c r="W177" s="5" t="n"/>
      <c r="X177" s="4" t="n"/>
      <c r="Y177" s="5" t="n"/>
      <c r="Z177" s="21">
        <f>IF($A177="","",IF(T177="Pagado",N(R177),0)+IF(X177="Pagado",N(V177),0))</f>
        <v/>
      </c>
      <c r="AA177" s="21">
        <f>IF($A177="","",ROUND(N(P177)-N(Z177),2))</f>
        <v/>
      </c>
      <c r="AB177" s="21">
        <f>IF($A177="","",SUMIF('OTROS COMPONENTES'!$A$4:$A$200,$A177,'OTROS COMPONENTES'!$D$4:$D$200))</f>
        <v/>
      </c>
      <c r="AC177" s="21">
        <f>IF($A177="","",SUMIF('OTROS COMPONENTES'!$A$4:$A$200,$A177,'OTROS COMPONENTES'!$E$4:$E$200))</f>
        <v/>
      </c>
      <c r="AD177" s="21">
        <f>IF($A177="","",ROUND(N(AB177)-N(AC177),2))</f>
        <v/>
      </c>
      <c r="AE177" s="21">
        <f>IF($A177="","",ROUND(N(P177)+N(AB177),2))</f>
        <v/>
      </c>
      <c r="AF177" s="21">
        <f>IF($A177="","",ROUND(N(Z177)+N(AC177),2))</f>
        <v/>
      </c>
      <c r="AG177" s="21">
        <f>IF($A177="","",ROUND(N(AA177)+N(AD177),2))</f>
        <v/>
      </c>
      <c r="AH177" s="9">
        <f>IF($A177="","",IF(OR($H177="Por confirmar",$H177="Cerrado"),"No","Sí"))</f>
        <v/>
      </c>
      <c r="AI177" s="21">
        <f>IF($A177="","",IF(AH177="No",0,IF(RESUMEN!$B$4="Saldo por pagar al fabricante",AA177,IF(RESUMEN!$B$4="Monto completo del pedido",P177,IF(OR($H177="Embarcando",$H177="Embarcado"),N(AA177),N(P177))))))</f>
        <v/>
      </c>
      <c r="AJ177" s="9">
        <f>IF($A177="","",IF(COUNTIF($A$4:$A$200,$A177)&gt;1,"ID_Pedido repetido",IF(N($P177)&lt;=0,"Falta el costo del fabricante",IF($F177="","Falta el proyecto",IF($G177="","Falta el cliente",IF(AND($H177&lt;&gt;"Por confirmar",N($R177)&gt;0,$T177=""),"Falta el estado del anticipo",IF(AND($H177&lt;&gt;"Por confirmar",N($V177)&gt;0,$X177=""),"Falta el estado del balance",IF($E177&gt;1,""&amp;$E177&amp;" equipos en una fila: pártela en una por proyecto",IF(AND($X177="Pendiente",N($V177)&gt;0,$W177=""),"Falta la fecha en que vence el balance",IF(AND($H177&lt;&gt;"Por confirmar",$H177&lt;&gt;"Cerrado",$AI177=0),"Consume 0 de cupo pero no está Por confirmar",""))))))))))</f>
        <v/>
      </c>
      <c r="AK177" s="4" t="n"/>
    </row>
    <row r="178">
      <c r="A178" s="4" t="n"/>
      <c r="B178" s="4" t="n"/>
      <c r="C178" s="4" t="n"/>
      <c r="D178" s="4" t="n"/>
      <c r="E178" s="4" t="n"/>
      <c r="F178" s="4" t="n"/>
      <c r="G178" s="4" t="n"/>
      <c r="H178" s="4" t="n"/>
      <c r="I178" s="5" t="n"/>
      <c r="J178" s="5" t="n"/>
      <c r="K178" s="5" t="n"/>
      <c r="L178" s="5" t="n"/>
      <c r="M178" s="5" t="n"/>
      <c r="N178" s="4" t="n"/>
      <c r="O178" s="4" t="n"/>
      <c r="P178" s="20" t="n"/>
      <c r="Q178" s="30" t="n"/>
      <c r="R178" s="21">
        <f>IF($A178="","",ROUND(P178*Q178,2))</f>
        <v/>
      </c>
      <c r="S178" s="5" t="n"/>
      <c r="T178" s="4" t="n"/>
      <c r="U178" s="5" t="n"/>
      <c r="V178" s="21">
        <f>IF($A178="","",ROUND(P178-R178,2))</f>
        <v/>
      </c>
      <c r="W178" s="5" t="n"/>
      <c r="X178" s="4" t="n"/>
      <c r="Y178" s="5" t="n"/>
      <c r="Z178" s="21">
        <f>IF($A178="","",IF(T178="Pagado",N(R178),0)+IF(X178="Pagado",N(V178),0))</f>
        <v/>
      </c>
      <c r="AA178" s="21">
        <f>IF($A178="","",ROUND(N(P178)-N(Z178),2))</f>
        <v/>
      </c>
      <c r="AB178" s="21">
        <f>IF($A178="","",SUMIF('OTROS COMPONENTES'!$A$4:$A$200,$A178,'OTROS COMPONENTES'!$D$4:$D$200))</f>
        <v/>
      </c>
      <c r="AC178" s="21">
        <f>IF($A178="","",SUMIF('OTROS COMPONENTES'!$A$4:$A$200,$A178,'OTROS COMPONENTES'!$E$4:$E$200))</f>
        <v/>
      </c>
      <c r="AD178" s="21">
        <f>IF($A178="","",ROUND(N(AB178)-N(AC178),2))</f>
        <v/>
      </c>
      <c r="AE178" s="21">
        <f>IF($A178="","",ROUND(N(P178)+N(AB178),2))</f>
        <v/>
      </c>
      <c r="AF178" s="21">
        <f>IF($A178="","",ROUND(N(Z178)+N(AC178),2))</f>
        <v/>
      </c>
      <c r="AG178" s="21">
        <f>IF($A178="","",ROUND(N(AA178)+N(AD178),2))</f>
        <v/>
      </c>
      <c r="AH178" s="9">
        <f>IF($A178="","",IF(OR($H178="Por confirmar",$H178="Cerrado"),"No","Sí"))</f>
        <v/>
      </c>
      <c r="AI178" s="21">
        <f>IF($A178="","",IF(AH178="No",0,IF(RESUMEN!$B$4="Saldo por pagar al fabricante",AA178,IF(RESUMEN!$B$4="Monto completo del pedido",P178,IF(OR($H178="Embarcando",$H178="Embarcado"),N(AA178),N(P178))))))</f>
        <v/>
      </c>
      <c r="AJ178" s="9">
        <f>IF($A178="","",IF(COUNTIF($A$4:$A$200,$A178)&gt;1,"ID_Pedido repetido",IF(N($P178)&lt;=0,"Falta el costo del fabricante",IF($F178="","Falta el proyecto",IF($G178="","Falta el cliente",IF(AND($H178&lt;&gt;"Por confirmar",N($R178)&gt;0,$T178=""),"Falta el estado del anticipo",IF(AND($H178&lt;&gt;"Por confirmar",N($V178)&gt;0,$X178=""),"Falta el estado del balance",IF($E178&gt;1,""&amp;$E178&amp;" equipos en una fila: pártela en una por proyecto",IF(AND($X178="Pendiente",N($V178)&gt;0,$W178=""),"Falta la fecha en que vence el balance",IF(AND($H178&lt;&gt;"Por confirmar",$H178&lt;&gt;"Cerrado",$AI178=0),"Consume 0 de cupo pero no está Por confirmar",""))))))))))</f>
        <v/>
      </c>
      <c r="AK178" s="4" t="n"/>
    </row>
    <row r="179">
      <c r="A179" s="4" t="n"/>
      <c r="B179" s="4" t="n"/>
      <c r="C179" s="4" t="n"/>
      <c r="D179" s="4" t="n"/>
      <c r="E179" s="4" t="n"/>
      <c r="F179" s="4" t="n"/>
      <c r="G179" s="4" t="n"/>
      <c r="H179" s="4" t="n"/>
      <c r="I179" s="5" t="n"/>
      <c r="J179" s="5" t="n"/>
      <c r="K179" s="5" t="n"/>
      <c r="L179" s="5" t="n"/>
      <c r="M179" s="5" t="n"/>
      <c r="N179" s="4" t="n"/>
      <c r="O179" s="4" t="n"/>
      <c r="P179" s="20" t="n"/>
      <c r="Q179" s="30" t="n"/>
      <c r="R179" s="21">
        <f>IF($A179="","",ROUND(P179*Q179,2))</f>
        <v/>
      </c>
      <c r="S179" s="5" t="n"/>
      <c r="T179" s="4" t="n"/>
      <c r="U179" s="5" t="n"/>
      <c r="V179" s="21">
        <f>IF($A179="","",ROUND(P179-R179,2))</f>
        <v/>
      </c>
      <c r="W179" s="5" t="n"/>
      <c r="X179" s="4" t="n"/>
      <c r="Y179" s="5" t="n"/>
      <c r="Z179" s="21">
        <f>IF($A179="","",IF(T179="Pagado",N(R179),0)+IF(X179="Pagado",N(V179),0))</f>
        <v/>
      </c>
      <c r="AA179" s="21">
        <f>IF($A179="","",ROUND(N(P179)-N(Z179),2))</f>
        <v/>
      </c>
      <c r="AB179" s="21">
        <f>IF($A179="","",SUMIF('OTROS COMPONENTES'!$A$4:$A$200,$A179,'OTROS COMPONENTES'!$D$4:$D$200))</f>
        <v/>
      </c>
      <c r="AC179" s="21">
        <f>IF($A179="","",SUMIF('OTROS COMPONENTES'!$A$4:$A$200,$A179,'OTROS COMPONENTES'!$E$4:$E$200))</f>
        <v/>
      </c>
      <c r="AD179" s="21">
        <f>IF($A179="","",ROUND(N(AB179)-N(AC179),2))</f>
        <v/>
      </c>
      <c r="AE179" s="21">
        <f>IF($A179="","",ROUND(N(P179)+N(AB179),2))</f>
        <v/>
      </c>
      <c r="AF179" s="21">
        <f>IF($A179="","",ROUND(N(Z179)+N(AC179),2))</f>
        <v/>
      </c>
      <c r="AG179" s="21">
        <f>IF($A179="","",ROUND(N(AA179)+N(AD179),2))</f>
        <v/>
      </c>
      <c r="AH179" s="9">
        <f>IF($A179="","",IF(OR($H179="Por confirmar",$H179="Cerrado"),"No","Sí"))</f>
        <v/>
      </c>
      <c r="AI179" s="21">
        <f>IF($A179="","",IF(AH179="No",0,IF(RESUMEN!$B$4="Saldo por pagar al fabricante",AA179,IF(RESUMEN!$B$4="Monto completo del pedido",P179,IF(OR($H179="Embarcando",$H179="Embarcado"),N(AA179),N(P179))))))</f>
        <v/>
      </c>
      <c r="AJ179" s="9">
        <f>IF($A179="","",IF(COUNTIF($A$4:$A$200,$A179)&gt;1,"ID_Pedido repetido",IF(N($P179)&lt;=0,"Falta el costo del fabricante",IF($F179="","Falta el proyecto",IF($G179="","Falta el cliente",IF(AND($H179&lt;&gt;"Por confirmar",N($R179)&gt;0,$T179=""),"Falta el estado del anticipo",IF(AND($H179&lt;&gt;"Por confirmar",N($V179)&gt;0,$X179=""),"Falta el estado del balance",IF($E179&gt;1,""&amp;$E179&amp;" equipos en una fila: pártela en una por proyecto",IF(AND($X179="Pendiente",N($V179)&gt;0,$W179=""),"Falta la fecha en que vence el balance",IF(AND($H179&lt;&gt;"Por confirmar",$H179&lt;&gt;"Cerrado",$AI179=0),"Consume 0 de cupo pero no está Por confirmar",""))))))))))</f>
        <v/>
      </c>
      <c r="AK179" s="4" t="n"/>
    </row>
    <row r="180">
      <c r="A180" s="4" t="n"/>
      <c r="B180" s="4" t="n"/>
      <c r="C180" s="4" t="n"/>
      <c r="D180" s="4" t="n"/>
      <c r="E180" s="4" t="n"/>
      <c r="F180" s="4" t="n"/>
      <c r="G180" s="4" t="n"/>
      <c r="H180" s="4" t="n"/>
      <c r="I180" s="5" t="n"/>
      <c r="J180" s="5" t="n"/>
      <c r="K180" s="5" t="n"/>
      <c r="L180" s="5" t="n"/>
      <c r="M180" s="5" t="n"/>
      <c r="N180" s="4" t="n"/>
      <c r="O180" s="4" t="n"/>
      <c r="P180" s="20" t="n"/>
      <c r="Q180" s="30" t="n"/>
      <c r="R180" s="21">
        <f>IF($A180="","",ROUND(P180*Q180,2))</f>
        <v/>
      </c>
      <c r="S180" s="5" t="n"/>
      <c r="T180" s="4" t="n"/>
      <c r="U180" s="5" t="n"/>
      <c r="V180" s="21">
        <f>IF($A180="","",ROUND(P180-R180,2))</f>
        <v/>
      </c>
      <c r="W180" s="5" t="n"/>
      <c r="X180" s="4" t="n"/>
      <c r="Y180" s="5" t="n"/>
      <c r="Z180" s="21">
        <f>IF($A180="","",IF(T180="Pagado",N(R180),0)+IF(X180="Pagado",N(V180),0))</f>
        <v/>
      </c>
      <c r="AA180" s="21">
        <f>IF($A180="","",ROUND(N(P180)-N(Z180),2))</f>
        <v/>
      </c>
      <c r="AB180" s="21">
        <f>IF($A180="","",SUMIF('OTROS COMPONENTES'!$A$4:$A$200,$A180,'OTROS COMPONENTES'!$D$4:$D$200))</f>
        <v/>
      </c>
      <c r="AC180" s="21">
        <f>IF($A180="","",SUMIF('OTROS COMPONENTES'!$A$4:$A$200,$A180,'OTROS COMPONENTES'!$E$4:$E$200))</f>
        <v/>
      </c>
      <c r="AD180" s="21">
        <f>IF($A180="","",ROUND(N(AB180)-N(AC180),2))</f>
        <v/>
      </c>
      <c r="AE180" s="21">
        <f>IF($A180="","",ROUND(N(P180)+N(AB180),2))</f>
        <v/>
      </c>
      <c r="AF180" s="21">
        <f>IF($A180="","",ROUND(N(Z180)+N(AC180),2))</f>
        <v/>
      </c>
      <c r="AG180" s="21">
        <f>IF($A180="","",ROUND(N(AA180)+N(AD180),2))</f>
        <v/>
      </c>
      <c r="AH180" s="9">
        <f>IF($A180="","",IF(OR($H180="Por confirmar",$H180="Cerrado"),"No","Sí"))</f>
        <v/>
      </c>
      <c r="AI180" s="21">
        <f>IF($A180="","",IF(AH180="No",0,IF(RESUMEN!$B$4="Saldo por pagar al fabricante",AA180,IF(RESUMEN!$B$4="Monto completo del pedido",P180,IF(OR($H180="Embarcando",$H180="Embarcado"),N(AA180),N(P180))))))</f>
        <v/>
      </c>
      <c r="AJ180" s="9">
        <f>IF($A180="","",IF(COUNTIF($A$4:$A$200,$A180)&gt;1,"ID_Pedido repetido",IF(N($P180)&lt;=0,"Falta el costo del fabricante",IF($F180="","Falta el proyecto",IF($G180="","Falta el cliente",IF(AND($H180&lt;&gt;"Por confirmar",N($R180)&gt;0,$T180=""),"Falta el estado del anticipo",IF(AND($H180&lt;&gt;"Por confirmar",N($V180)&gt;0,$X180=""),"Falta el estado del balance",IF($E180&gt;1,""&amp;$E180&amp;" equipos en una fila: pártela en una por proyecto",IF(AND($X180="Pendiente",N($V180)&gt;0,$W180=""),"Falta la fecha en que vence el balance",IF(AND($H180&lt;&gt;"Por confirmar",$H180&lt;&gt;"Cerrado",$AI180=0),"Consume 0 de cupo pero no está Por confirmar",""))))))))))</f>
        <v/>
      </c>
      <c r="AK180" s="4" t="n"/>
    </row>
    <row r="181">
      <c r="A181" s="4" t="n"/>
      <c r="B181" s="4" t="n"/>
      <c r="C181" s="4" t="n"/>
      <c r="D181" s="4" t="n"/>
      <c r="E181" s="4" t="n"/>
      <c r="F181" s="4" t="n"/>
      <c r="G181" s="4" t="n"/>
      <c r="H181" s="4" t="n"/>
      <c r="I181" s="5" t="n"/>
      <c r="J181" s="5" t="n"/>
      <c r="K181" s="5" t="n"/>
      <c r="L181" s="5" t="n"/>
      <c r="M181" s="5" t="n"/>
      <c r="N181" s="4" t="n"/>
      <c r="O181" s="4" t="n"/>
      <c r="P181" s="20" t="n"/>
      <c r="Q181" s="30" t="n"/>
      <c r="R181" s="21">
        <f>IF($A181="","",ROUND(P181*Q181,2))</f>
        <v/>
      </c>
      <c r="S181" s="5" t="n"/>
      <c r="T181" s="4" t="n"/>
      <c r="U181" s="5" t="n"/>
      <c r="V181" s="21">
        <f>IF($A181="","",ROUND(P181-R181,2))</f>
        <v/>
      </c>
      <c r="W181" s="5" t="n"/>
      <c r="X181" s="4" t="n"/>
      <c r="Y181" s="5" t="n"/>
      <c r="Z181" s="21">
        <f>IF($A181="","",IF(T181="Pagado",N(R181),0)+IF(X181="Pagado",N(V181),0))</f>
        <v/>
      </c>
      <c r="AA181" s="21">
        <f>IF($A181="","",ROUND(N(P181)-N(Z181),2))</f>
        <v/>
      </c>
      <c r="AB181" s="21">
        <f>IF($A181="","",SUMIF('OTROS COMPONENTES'!$A$4:$A$200,$A181,'OTROS COMPONENTES'!$D$4:$D$200))</f>
        <v/>
      </c>
      <c r="AC181" s="21">
        <f>IF($A181="","",SUMIF('OTROS COMPONENTES'!$A$4:$A$200,$A181,'OTROS COMPONENTES'!$E$4:$E$200))</f>
        <v/>
      </c>
      <c r="AD181" s="21">
        <f>IF($A181="","",ROUND(N(AB181)-N(AC181),2))</f>
        <v/>
      </c>
      <c r="AE181" s="21">
        <f>IF($A181="","",ROUND(N(P181)+N(AB181),2))</f>
        <v/>
      </c>
      <c r="AF181" s="21">
        <f>IF($A181="","",ROUND(N(Z181)+N(AC181),2))</f>
        <v/>
      </c>
      <c r="AG181" s="21">
        <f>IF($A181="","",ROUND(N(AA181)+N(AD181),2))</f>
        <v/>
      </c>
      <c r="AH181" s="9">
        <f>IF($A181="","",IF(OR($H181="Por confirmar",$H181="Cerrado"),"No","Sí"))</f>
        <v/>
      </c>
      <c r="AI181" s="21">
        <f>IF($A181="","",IF(AH181="No",0,IF(RESUMEN!$B$4="Saldo por pagar al fabricante",AA181,IF(RESUMEN!$B$4="Monto completo del pedido",P181,IF(OR($H181="Embarcando",$H181="Embarcado"),N(AA181),N(P181))))))</f>
        <v/>
      </c>
      <c r="AJ181" s="9">
        <f>IF($A181="","",IF(COUNTIF($A$4:$A$200,$A181)&gt;1,"ID_Pedido repetido",IF(N($P181)&lt;=0,"Falta el costo del fabricante",IF($F181="","Falta el proyecto",IF($G181="","Falta el cliente",IF(AND($H181&lt;&gt;"Por confirmar",N($R181)&gt;0,$T181=""),"Falta el estado del anticipo",IF(AND($H181&lt;&gt;"Por confirmar",N($V181)&gt;0,$X181=""),"Falta el estado del balance",IF($E181&gt;1,""&amp;$E181&amp;" equipos en una fila: pártela en una por proyecto",IF(AND($X181="Pendiente",N($V181)&gt;0,$W181=""),"Falta la fecha en que vence el balance",IF(AND($H181&lt;&gt;"Por confirmar",$H181&lt;&gt;"Cerrado",$AI181=0),"Consume 0 de cupo pero no está Por confirmar",""))))))))))</f>
        <v/>
      </c>
      <c r="AK181" s="4" t="n"/>
    </row>
    <row r="182">
      <c r="A182" s="4" t="n"/>
      <c r="B182" s="4" t="n"/>
      <c r="C182" s="4" t="n"/>
      <c r="D182" s="4" t="n"/>
      <c r="E182" s="4" t="n"/>
      <c r="F182" s="4" t="n"/>
      <c r="G182" s="4" t="n"/>
      <c r="H182" s="4" t="n"/>
      <c r="I182" s="5" t="n"/>
      <c r="J182" s="5" t="n"/>
      <c r="K182" s="5" t="n"/>
      <c r="L182" s="5" t="n"/>
      <c r="M182" s="5" t="n"/>
      <c r="N182" s="4" t="n"/>
      <c r="O182" s="4" t="n"/>
      <c r="P182" s="20" t="n"/>
      <c r="Q182" s="30" t="n"/>
      <c r="R182" s="21">
        <f>IF($A182="","",ROUND(P182*Q182,2))</f>
        <v/>
      </c>
      <c r="S182" s="5" t="n"/>
      <c r="T182" s="4" t="n"/>
      <c r="U182" s="5" t="n"/>
      <c r="V182" s="21">
        <f>IF($A182="","",ROUND(P182-R182,2))</f>
        <v/>
      </c>
      <c r="W182" s="5" t="n"/>
      <c r="X182" s="4" t="n"/>
      <c r="Y182" s="5" t="n"/>
      <c r="Z182" s="21">
        <f>IF($A182="","",IF(T182="Pagado",N(R182),0)+IF(X182="Pagado",N(V182),0))</f>
        <v/>
      </c>
      <c r="AA182" s="21">
        <f>IF($A182="","",ROUND(N(P182)-N(Z182),2))</f>
        <v/>
      </c>
      <c r="AB182" s="21">
        <f>IF($A182="","",SUMIF('OTROS COMPONENTES'!$A$4:$A$200,$A182,'OTROS COMPONENTES'!$D$4:$D$200))</f>
        <v/>
      </c>
      <c r="AC182" s="21">
        <f>IF($A182="","",SUMIF('OTROS COMPONENTES'!$A$4:$A$200,$A182,'OTROS COMPONENTES'!$E$4:$E$200))</f>
        <v/>
      </c>
      <c r="AD182" s="21">
        <f>IF($A182="","",ROUND(N(AB182)-N(AC182),2))</f>
        <v/>
      </c>
      <c r="AE182" s="21">
        <f>IF($A182="","",ROUND(N(P182)+N(AB182),2))</f>
        <v/>
      </c>
      <c r="AF182" s="21">
        <f>IF($A182="","",ROUND(N(Z182)+N(AC182),2))</f>
        <v/>
      </c>
      <c r="AG182" s="21">
        <f>IF($A182="","",ROUND(N(AA182)+N(AD182),2))</f>
        <v/>
      </c>
      <c r="AH182" s="9">
        <f>IF($A182="","",IF(OR($H182="Por confirmar",$H182="Cerrado"),"No","Sí"))</f>
        <v/>
      </c>
      <c r="AI182" s="21">
        <f>IF($A182="","",IF(AH182="No",0,IF(RESUMEN!$B$4="Saldo por pagar al fabricante",AA182,IF(RESUMEN!$B$4="Monto completo del pedido",P182,IF(OR($H182="Embarcando",$H182="Embarcado"),N(AA182),N(P182))))))</f>
        <v/>
      </c>
      <c r="AJ182" s="9">
        <f>IF($A182="","",IF(COUNTIF($A$4:$A$200,$A182)&gt;1,"ID_Pedido repetido",IF(N($P182)&lt;=0,"Falta el costo del fabricante",IF($F182="","Falta el proyecto",IF($G182="","Falta el cliente",IF(AND($H182&lt;&gt;"Por confirmar",N($R182)&gt;0,$T182=""),"Falta el estado del anticipo",IF(AND($H182&lt;&gt;"Por confirmar",N($V182)&gt;0,$X182=""),"Falta el estado del balance",IF($E182&gt;1,""&amp;$E182&amp;" equipos en una fila: pártela en una por proyecto",IF(AND($X182="Pendiente",N($V182)&gt;0,$W182=""),"Falta la fecha en que vence el balance",IF(AND($H182&lt;&gt;"Por confirmar",$H182&lt;&gt;"Cerrado",$AI182=0),"Consume 0 de cupo pero no está Por confirmar",""))))))))))</f>
        <v/>
      </c>
      <c r="AK182" s="4" t="n"/>
    </row>
    <row r="183">
      <c r="A183" s="4" t="n"/>
      <c r="B183" s="4" t="n"/>
      <c r="C183" s="4" t="n"/>
      <c r="D183" s="4" t="n"/>
      <c r="E183" s="4" t="n"/>
      <c r="F183" s="4" t="n"/>
      <c r="G183" s="4" t="n"/>
      <c r="H183" s="4" t="n"/>
      <c r="I183" s="5" t="n"/>
      <c r="J183" s="5" t="n"/>
      <c r="K183" s="5" t="n"/>
      <c r="L183" s="5" t="n"/>
      <c r="M183" s="5" t="n"/>
      <c r="N183" s="4" t="n"/>
      <c r="O183" s="4" t="n"/>
      <c r="P183" s="20" t="n"/>
      <c r="Q183" s="30" t="n"/>
      <c r="R183" s="21">
        <f>IF($A183="","",ROUND(P183*Q183,2))</f>
        <v/>
      </c>
      <c r="S183" s="5" t="n"/>
      <c r="T183" s="4" t="n"/>
      <c r="U183" s="5" t="n"/>
      <c r="V183" s="21">
        <f>IF($A183="","",ROUND(P183-R183,2))</f>
        <v/>
      </c>
      <c r="W183" s="5" t="n"/>
      <c r="X183" s="4" t="n"/>
      <c r="Y183" s="5" t="n"/>
      <c r="Z183" s="21">
        <f>IF($A183="","",IF(T183="Pagado",N(R183),0)+IF(X183="Pagado",N(V183),0))</f>
        <v/>
      </c>
      <c r="AA183" s="21">
        <f>IF($A183="","",ROUND(N(P183)-N(Z183),2))</f>
        <v/>
      </c>
      <c r="AB183" s="21">
        <f>IF($A183="","",SUMIF('OTROS COMPONENTES'!$A$4:$A$200,$A183,'OTROS COMPONENTES'!$D$4:$D$200))</f>
        <v/>
      </c>
      <c r="AC183" s="21">
        <f>IF($A183="","",SUMIF('OTROS COMPONENTES'!$A$4:$A$200,$A183,'OTROS COMPONENTES'!$E$4:$E$200))</f>
        <v/>
      </c>
      <c r="AD183" s="21">
        <f>IF($A183="","",ROUND(N(AB183)-N(AC183),2))</f>
        <v/>
      </c>
      <c r="AE183" s="21">
        <f>IF($A183="","",ROUND(N(P183)+N(AB183),2))</f>
        <v/>
      </c>
      <c r="AF183" s="21">
        <f>IF($A183="","",ROUND(N(Z183)+N(AC183),2))</f>
        <v/>
      </c>
      <c r="AG183" s="21">
        <f>IF($A183="","",ROUND(N(AA183)+N(AD183),2))</f>
        <v/>
      </c>
      <c r="AH183" s="9">
        <f>IF($A183="","",IF(OR($H183="Por confirmar",$H183="Cerrado"),"No","Sí"))</f>
        <v/>
      </c>
      <c r="AI183" s="21">
        <f>IF($A183="","",IF(AH183="No",0,IF(RESUMEN!$B$4="Saldo por pagar al fabricante",AA183,IF(RESUMEN!$B$4="Monto completo del pedido",P183,IF(OR($H183="Embarcando",$H183="Embarcado"),N(AA183),N(P183))))))</f>
        <v/>
      </c>
      <c r="AJ183" s="9">
        <f>IF($A183="","",IF(COUNTIF($A$4:$A$200,$A183)&gt;1,"ID_Pedido repetido",IF(N($P183)&lt;=0,"Falta el costo del fabricante",IF($F183="","Falta el proyecto",IF($G183="","Falta el cliente",IF(AND($H183&lt;&gt;"Por confirmar",N($R183)&gt;0,$T183=""),"Falta el estado del anticipo",IF(AND($H183&lt;&gt;"Por confirmar",N($V183)&gt;0,$X183=""),"Falta el estado del balance",IF($E183&gt;1,""&amp;$E183&amp;" equipos en una fila: pártela en una por proyecto",IF(AND($X183="Pendiente",N($V183)&gt;0,$W183=""),"Falta la fecha en que vence el balance",IF(AND($H183&lt;&gt;"Por confirmar",$H183&lt;&gt;"Cerrado",$AI183=0),"Consume 0 de cupo pero no está Por confirmar",""))))))))))</f>
        <v/>
      </c>
      <c r="AK183" s="4" t="n"/>
    </row>
    <row r="184">
      <c r="A184" s="4" t="n"/>
      <c r="B184" s="4" t="n"/>
      <c r="C184" s="4" t="n"/>
      <c r="D184" s="4" t="n"/>
      <c r="E184" s="4" t="n"/>
      <c r="F184" s="4" t="n"/>
      <c r="G184" s="4" t="n"/>
      <c r="H184" s="4" t="n"/>
      <c r="I184" s="5" t="n"/>
      <c r="J184" s="5" t="n"/>
      <c r="K184" s="5" t="n"/>
      <c r="L184" s="5" t="n"/>
      <c r="M184" s="5" t="n"/>
      <c r="N184" s="4" t="n"/>
      <c r="O184" s="4" t="n"/>
      <c r="P184" s="20" t="n"/>
      <c r="Q184" s="30" t="n"/>
      <c r="R184" s="21">
        <f>IF($A184="","",ROUND(P184*Q184,2))</f>
        <v/>
      </c>
      <c r="S184" s="5" t="n"/>
      <c r="T184" s="4" t="n"/>
      <c r="U184" s="5" t="n"/>
      <c r="V184" s="21">
        <f>IF($A184="","",ROUND(P184-R184,2))</f>
        <v/>
      </c>
      <c r="W184" s="5" t="n"/>
      <c r="X184" s="4" t="n"/>
      <c r="Y184" s="5" t="n"/>
      <c r="Z184" s="21">
        <f>IF($A184="","",IF(T184="Pagado",N(R184),0)+IF(X184="Pagado",N(V184),0))</f>
        <v/>
      </c>
      <c r="AA184" s="21">
        <f>IF($A184="","",ROUND(N(P184)-N(Z184),2))</f>
        <v/>
      </c>
      <c r="AB184" s="21">
        <f>IF($A184="","",SUMIF('OTROS COMPONENTES'!$A$4:$A$200,$A184,'OTROS COMPONENTES'!$D$4:$D$200))</f>
        <v/>
      </c>
      <c r="AC184" s="21">
        <f>IF($A184="","",SUMIF('OTROS COMPONENTES'!$A$4:$A$200,$A184,'OTROS COMPONENTES'!$E$4:$E$200))</f>
        <v/>
      </c>
      <c r="AD184" s="21">
        <f>IF($A184="","",ROUND(N(AB184)-N(AC184),2))</f>
        <v/>
      </c>
      <c r="AE184" s="21">
        <f>IF($A184="","",ROUND(N(P184)+N(AB184),2))</f>
        <v/>
      </c>
      <c r="AF184" s="21">
        <f>IF($A184="","",ROUND(N(Z184)+N(AC184),2))</f>
        <v/>
      </c>
      <c r="AG184" s="21">
        <f>IF($A184="","",ROUND(N(AA184)+N(AD184),2))</f>
        <v/>
      </c>
      <c r="AH184" s="9">
        <f>IF($A184="","",IF(OR($H184="Por confirmar",$H184="Cerrado"),"No","Sí"))</f>
        <v/>
      </c>
      <c r="AI184" s="21">
        <f>IF($A184="","",IF(AH184="No",0,IF(RESUMEN!$B$4="Saldo por pagar al fabricante",AA184,IF(RESUMEN!$B$4="Monto completo del pedido",P184,IF(OR($H184="Embarcando",$H184="Embarcado"),N(AA184),N(P184))))))</f>
        <v/>
      </c>
      <c r="AJ184" s="9">
        <f>IF($A184="","",IF(COUNTIF($A$4:$A$200,$A184)&gt;1,"ID_Pedido repetido",IF(N($P184)&lt;=0,"Falta el costo del fabricante",IF($F184="","Falta el proyecto",IF($G184="","Falta el cliente",IF(AND($H184&lt;&gt;"Por confirmar",N($R184)&gt;0,$T184=""),"Falta el estado del anticipo",IF(AND($H184&lt;&gt;"Por confirmar",N($V184)&gt;0,$X184=""),"Falta el estado del balance",IF($E184&gt;1,""&amp;$E184&amp;" equipos en una fila: pártela en una por proyecto",IF(AND($X184="Pendiente",N($V184)&gt;0,$W184=""),"Falta la fecha en que vence el balance",IF(AND($H184&lt;&gt;"Por confirmar",$H184&lt;&gt;"Cerrado",$AI184=0),"Consume 0 de cupo pero no está Por confirmar",""))))))))))</f>
        <v/>
      </c>
      <c r="AK184" s="4" t="n"/>
    </row>
    <row r="185">
      <c r="A185" s="4" t="n"/>
      <c r="B185" s="4" t="n"/>
      <c r="C185" s="4" t="n"/>
      <c r="D185" s="4" t="n"/>
      <c r="E185" s="4" t="n"/>
      <c r="F185" s="4" t="n"/>
      <c r="G185" s="4" t="n"/>
      <c r="H185" s="4" t="n"/>
      <c r="I185" s="5" t="n"/>
      <c r="J185" s="5" t="n"/>
      <c r="K185" s="5" t="n"/>
      <c r="L185" s="5" t="n"/>
      <c r="M185" s="5" t="n"/>
      <c r="N185" s="4" t="n"/>
      <c r="O185" s="4" t="n"/>
      <c r="P185" s="20" t="n"/>
      <c r="Q185" s="30" t="n"/>
      <c r="R185" s="21">
        <f>IF($A185="","",ROUND(P185*Q185,2))</f>
        <v/>
      </c>
      <c r="S185" s="5" t="n"/>
      <c r="T185" s="4" t="n"/>
      <c r="U185" s="5" t="n"/>
      <c r="V185" s="21">
        <f>IF($A185="","",ROUND(P185-R185,2))</f>
        <v/>
      </c>
      <c r="W185" s="5" t="n"/>
      <c r="X185" s="4" t="n"/>
      <c r="Y185" s="5" t="n"/>
      <c r="Z185" s="21">
        <f>IF($A185="","",IF(T185="Pagado",N(R185),0)+IF(X185="Pagado",N(V185),0))</f>
        <v/>
      </c>
      <c r="AA185" s="21">
        <f>IF($A185="","",ROUND(N(P185)-N(Z185),2))</f>
        <v/>
      </c>
      <c r="AB185" s="21">
        <f>IF($A185="","",SUMIF('OTROS COMPONENTES'!$A$4:$A$200,$A185,'OTROS COMPONENTES'!$D$4:$D$200))</f>
        <v/>
      </c>
      <c r="AC185" s="21">
        <f>IF($A185="","",SUMIF('OTROS COMPONENTES'!$A$4:$A$200,$A185,'OTROS COMPONENTES'!$E$4:$E$200))</f>
        <v/>
      </c>
      <c r="AD185" s="21">
        <f>IF($A185="","",ROUND(N(AB185)-N(AC185),2))</f>
        <v/>
      </c>
      <c r="AE185" s="21">
        <f>IF($A185="","",ROUND(N(P185)+N(AB185),2))</f>
        <v/>
      </c>
      <c r="AF185" s="21">
        <f>IF($A185="","",ROUND(N(Z185)+N(AC185),2))</f>
        <v/>
      </c>
      <c r="AG185" s="21">
        <f>IF($A185="","",ROUND(N(AA185)+N(AD185),2))</f>
        <v/>
      </c>
      <c r="AH185" s="9">
        <f>IF($A185="","",IF(OR($H185="Por confirmar",$H185="Cerrado"),"No","Sí"))</f>
        <v/>
      </c>
      <c r="AI185" s="21">
        <f>IF($A185="","",IF(AH185="No",0,IF(RESUMEN!$B$4="Saldo por pagar al fabricante",AA185,IF(RESUMEN!$B$4="Monto completo del pedido",P185,IF(OR($H185="Embarcando",$H185="Embarcado"),N(AA185),N(P185))))))</f>
        <v/>
      </c>
      <c r="AJ185" s="9">
        <f>IF($A185="","",IF(COUNTIF($A$4:$A$200,$A185)&gt;1,"ID_Pedido repetido",IF(N($P185)&lt;=0,"Falta el costo del fabricante",IF($F185="","Falta el proyecto",IF($G185="","Falta el cliente",IF(AND($H185&lt;&gt;"Por confirmar",N($R185)&gt;0,$T185=""),"Falta el estado del anticipo",IF(AND($H185&lt;&gt;"Por confirmar",N($V185)&gt;0,$X185=""),"Falta el estado del balance",IF($E185&gt;1,""&amp;$E185&amp;" equipos en una fila: pártela en una por proyecto",IF(AND($X185="Pendiente",N($V185)&gt;0,$W185=""),"Falta la fecha en que vence el balance",IF(AND($H185&lt;&gt;"Por confirmar",$H185&lt;&gt;"Cerrado",$AI185=0),"Consume 0 de cupo pero no está Por confirmar",""))))))))))</f>
        <v/>
      </c>
      <c r="AK185" s="4" t="n"/>
    </row>
    <row r="186">
      <c r="A186" s="4" t="n"/>
      <c r="B186" s="4" t="n"/>
      <c r="C186" s="4" t="n"/>
      <c r="D186" s="4" t="n"/>
      <c r="E186" s="4" t="n"/>
      <c r="F186" s="4" t="n"/>
      <c r="G186" s="4" t="n"/>
      <c r="H186" s="4" t="n"/>
      <c r="I186" s="5" t="n"/>
      <c r="J186" s="5" t="n"/>
      <c r="K186" s="5" t="n"/>
      <c r="L186" s="5" t="n"/>
      <c r="M186" s="5" t="n"/>
      <c r="N186" s="4" t="n"/>
      <c r="O186" s="4" t="n"/>
      <c r="P186" s="20" t="n"/>
      <c r="Q186" s="30" t="n"/>
      <c r="R186" s="21">
        <f>IF($A186="","",ROUND(P186*Q186,2))</f>
        <v/>
      </c>
      <c r="S186" s="5" t="n"/>
      <c r="T186" s="4" t="n"/>
      <c r="U186" s="5" t="n"/>
      <c r="V186" s="21">
        <f>IF($A186="","",ROUND(P186-R186,2))</f>
        <v/>
      </c>
      <c r="W186" s="5" t="n"/>
      <c r="X186" s="4" t="n"/>
      <c r="Y186" s="5" t="n"/>
      <c r="Z186" s="21">
        <f>IF($A186="","",IF(T186="Pagado",N(R186),0)+IF(X186="Pagado",N(V186),0))</f>
        <v/>
      </c>
      <c r="AA186" s="21">
        <f>IF($A186="","",ROUND(N(P186)-N(Z186),2))</f>
        <v/>
      </c>
      <c r="AB186" s="21">
        <f>IF($A186="","",SUMIF('OTROS COMPONENTES'!$A$4:$A$200,$A186,'OTROS COMPONENTES'!$D$4:$D$200))</f>
        <v/>
      </c>
      <c r="AC186" s="21">
        <f>IF($A186="","",SUMIF('OTROS COMPONENTES'!$A$4:$A$200,$A186,'OTROS COMPONENTES'!$E$4:$E$200))</f>
        <v/>
      </c>
      <c r="AD186" s="21">
        <f>IF($A186="","",ROUND(N(AB186)-N(AC186),2))</f>
        <v/>
      </c>
      <c r="AE186" s="21">
        <f>IF($A186="","",ROUND(N(P186)+N(AB186),2))</f>
        <v/>
      </c>
      <c r="AF186" s="21">
        <f>IF($A186="","",ROUND(N(Z186)+N(AC186),2))</f>
        <v/>
      </c>
      <c r="AG186" s="21">
        <f>IF($A186="","",ROUND(N(AA186)+N(AD186),2))</f>
        <v/>
      </c>
      <c r="AH186" s="9">
        <f>IF($A186="","",IF(OR($H186="Por confirmar",$H186="Cerrado"),"No","Sí"))</f>
        <v/>
      </c>
      <c r="AI186" s="21">
        <f>IF($A186="","",IF(AH186="No",0,IF(RESUMEN!$B$4="Saldo por pagar al fabricante",AA186,IF(RESUMEN!$B$4="Monto completo del pedido",P186,IF(OR($H186="Embarcando",$H186="Embarcado"),N(AA186),N(P186))))))</f>
        <v/>
      </c>
      <c r="AJ186" s="9">
        <f>IF($A186="","",IF(COUNTIF($A$4:$A$200,$A186)&gt;1,"ID_Pedido repetido",IF(N($P186)&lt;=0,"Falta el costo del fabricante",IF($F186="","Falta el proyecto",IF($G186="","Falta el cliente",IF(AND($H186&lt;&gt;"Por confirmar",N($R186)&gt;0,$T186=""),"Falta el estado del anticipo",IF(AND($H186&lt;&gt;"Por confirmar",N($V186)&gt;0,$X186=""),"Falta el estado del balance",IF($E186&gt;1,""&amp;$E186&amp;" equipos en una fila: pártela en una por proyecto",IF(AND($X186="Pendiente",N($V186)&gt;0,$W186=""),"Falta la fecha en que vence el balance",IF(AND($H186&lt;&gt;"Por confirmar",$H186&lt;&gt;"Cerrado",$AI186=0),"Consume 0 de cupo pero no está Por confirmar",""))))))))))</f>
        <v/>
      </c>
      <c r="AK186" s="4" t="n"/>
    </row>
    <row r="187">
      <c r="A187" s="4" t="n"/>
      <c r="B187" s="4" t="n"/>
      <c r="C187" s="4" t="n"/>
      <c r="D187" s="4" t="n"/>
      <c r="E187" s="4" t="n"/>
      <c r="F187" s="4" t="n"/>
      <c r="G187" s="4" t="n"/>
      <c r="H187" s="4" t="n"/>
      <c r="I187" s="5" t="n"/>
      <c r="J187" s="5" t="n"/>
      <c r="K187" s="5" t="n"/>
      <c r="L187" s="5" t="n"/>
      <c r="M187" s="5" t="n"/>
      <c r="N187" s="4" t="n"/>
      <c r="O187" s="4" t="n"/>
      <c r="P187" s="20" t="n"/>
      <c r="Q187" s="30" t="n"/>
      <c r="R187" s="21">
        <f>IF($A187="","",ROUND(P187*Q187,2))</f>
        <v/>
      </c>
      <c r="S187" s="5" t="n"/>
      <c r="T187" s="4" t="n"/>
      <c r="U187" s="5" t="n"/>
      <c r="V187" s="21">
        <f>IF($A187="","",ROUND(P187-R187,2))</f>
        <v/>
      </c>
      <c r="W187" s="5" t="n"/>
      <c r="X187" s="4" t="n"/>
      <c r="Y187" s="5" t="n"/>
      <c r="Z187" s="21">
        <f>IF($A187="","",IF(T187="Pagado",N(R187),0)+IF(X187="Pagado",N(V187),0))</f>
        <v/>
      </c>
      <c r="AA187" s="21">
        <f>IF($A187="","",ROUND(N(P187)-N(Z187),2))</f>
        <v/>
      </c>
      <c r="AB187" s="21">
        <f>IF($A187="","",SUMIF('OTROS COMPONENTES'!$A$4:$A$200,$A187,'OTROS COMPONENTES'!$D$4:$D$200))</f>
        <v/>
      </c>
      <c r="AC187" s="21">
        <f>IF($A187="","",SUMIF('OTROS COMPONENTES'!$A$4:$A$200,$A187,'OTROS COMPONENTES'!$E$4:$E$200))</f>
        <v/>
      </c>
      <c r="AD187" s="21">
        <f>IF($A187="","",ROUND(N(AB187)-N(AC187),2))</f>
        <v/>
      </c>
      <c r="AE187" s="21">
        <f>IF($A187="","",ROUND(N(P187)+N(AB187),2))</f>
        <v/>
      </c>
      <c r="AF187" s="21">
        <f>IF($A187="","",ROUND(N(Z187)+N(AC187),2))</f>
        <v/>
      </c>
      <c r="AG187" s="21">
        <f>IF($A187="","",ROUND(N(AA187)+N(AD187),2))</f>
        <v/>
      </c>
      <c r="AH187" s="9">
        <f>IF($A187="","",IF(OR($H187="Por confirmar",$H187="Cerrado"),"No","Sí"))</f>
        <v/>
      </c>
      <c r="AI187" s="21">
        <f>IF($A187="","",IF(AH187="No",0,IF(RESUMEN!$B$4="Saldo por pagar al fabricante",AA187,IF(RESUMEN!$B$4="Monto completo del pedido",P187,IF(OR($H187="Embarcando",$H187="Embarcado"),N(AA187),N(P187))))))</f>
        <v/>
      </c>
      <c r="AJ187" s="9">
        <f>IF($A187="","",IF(COUNTIF($A$4:$A$200,$A187)&gt;1,"ID_Pedido repetido",IF(N($P187)&lt;=0,"Falta el costo del fabricante",IF($F187="","Falta el proyecto",IF($G187="","Falta el cliente",IF(AND($H187&lt;&gt;"Por confirmar",N($R187)&gt;0,$T187=""),"Falta el estado del anticipo",IF(AND($H187&lt;&gt;"Por confirmar",N($V187)&gt;0,$X187=""),"Falta el estado del balance",IF($E187&gt;1,""&amp;$E187&amp;" equipos en una fila: pártela en una por proyecto",IF(AND($X187="Pendiente",N($V187)&gt;0,$W187=""),"Falta la fecha en que vence el balance",IF(AND($H187&lt;&gt;"Por confirmar",$H187&lt;&gt;"Cerrado",$AI187=0),"Consume 0 de cupo pero no está Por confirmar",""))))))))))</f>
        <v/>
      </c>
      <c r="AK187" s="4" t="n"/>
    </row>
    <row r="188">
      <c r="A188" s="4" t="n"/>
      <c r="B188" s="4" t="n"/>
      <c r="C188" s="4" t="n"/>
      <c r="D188" s="4" t="n"/>
      <c r="E188" s="4" t="n"/>
      <c r="F188" s="4" t="n"/>
      <c r="G188" s="4" t="n"/>
      <c r="H188" s="4" t="n"/>
      <c r="I188" s="5" t="n"/>
      <c r="J188" s="5" t="n"/>
      <c r="K188" s="5" t="n"/>
      <c r="L188" s="5" t="n"/>
      <c r="M188" s="5" t="n"/>
      <c r="N188" s="4" t="n"/>
      <c r="O188" s="4" t="n"/>
      <c r="P188" s="20" t="n"/>
      <c r="Q188" s="30" t="n"/>
      <c r="R188" s="21">
        <f>IF($A188="","",ROUND(P188*Q188,2))</f>
        <v/>
      </c>
      <c r="S188" s="5" t="n"/>
      <c r="T188" s="4" t="n"/>
      <c r="U188" s="5" t="n"/>
      <c r="V188" s="21">
        <f>IF($A188="","",ROUND(P188-R188,2))</f>
        <v/>
      </c>
      <c r="W188" s="5" t="n"/>
      <c r="X188" s="4" t="n"/>
      <c r="Y188" s="5" t="n"/>
      <c r="Z188" s="21">
        <f>IF($A188="","",IF(T188="Pagado",N(R188),0)+IF(X188="Pagado",N(V188),0))</f>
        <v/>
      </c>
      <c r="AA188" s="21">
        <f>IF($A188="","",ROUND(N(P188)-N(Z188),2))</f>
        <v/>
      </c>
      <c r="AB188" s="21">
        <f>IF($A188="","",SUMIF('OTROS COMPONENTES'!$A$4:$A$200,$A188,'OTROS COMPONENTES'!$D$4:$D$200))</f>
        <v/>
      </c>
      <c r="AC188" s="21">
        <f>IF($A188="","",SUMIF('OTROS COMPONENTES'!$A$4:$A$200,$A188,'OTROS COMPONENTES'!$E$4:$E$200))</f>
        <v/>
      </c>
      <c r="AD188" s="21">
        <f>IF($A188="","",ROUND(N(AB188)-N(AC188),2))</f>
        <v/>
      </c>
      <c r="AE188" s="21">
        <f>IF($A188="","",ROUND(N(P188)+N(AB188),2))</f>
        <v/>
      </c>
      <c r="AF188" s="21">
        <f>IF($A188="","",ROUND(N(Z188)+N(AC188),2))</f>
        <v/>
      </c>
      <c r="AG188" s="21">
        <f>IF($A188="","",ROUND(N(AA188)+N(AD188),2))</f>
        <v/>
      </c>
      <c r="AH188" s="9">
        <f>IF($A188="","",IF(OR($H188="Por confirmar",$H188="Cerrado"),"No","Sí"))</f>
        <v/>
      </c>
      <c r="AI188" s="21">
        <f>IF($A188="","",IF(AH188="No",0,IF(RESUMEN!$B$4="Saldo por pagar al fabricante",AA188,IF(RESUMEN!$B$4="Monto completo del pedido",P188,IF(OR($H188="Embarcando",$H188="Embarcado"),N(AA188),N(P188))))))</f>
        <v/>
      </c>
      <c r="AJ188" s="9">
        <f>IF($A188="","",IF(COUNTIF($A$4:$A$200,$A188)&gt;1,"ID_Pedido repetido",IF(N($P188)&lt;=0,"Falta el costo del fabricante",IF($F188="","Falta el proyecto",IF($G188="","Falta el cliente",IF(AND($H188&lt;&gt;"Por confirmar",N($R188)&gt;0,$T188=""),"Falta el estado del anticipo",IF(AND($H188&lt;&gt;"Por confirmar",N($V188)&gt;0,$X188=""),"Falta el estado del balance",IF($E188&gt;1,""&amp;$E188&amp;" equipos en una fila: pártela en una por proyecto",IF(AND($X188="Pendiente",N($V188)&gt;0,$W188=""),"Falta la fecha en que vence el balance",IF(AND($H188&lt;&gt;"Por confirmar",$H188&lt;&gt;"Cerrado",$AI188=0),"Consume 0 de cupo pero no está Por confirmar",""))))))))))</f>
        <v/>
      </c>
      <c r="AK188" s="4" t="n"/>
    </row>
    <row r="189">
      <c r="A189" s="4" t="n"/>
      <c r="B189" s="4" t="n"/>
      <c r="C189" s="4" t="n"/>
      <c r="D189" s="4" t="n"/>
      <c r="E189" s="4" t="n"/>
      <c r="F189" s="4" t="n"/>
      <c r="G189" s="4" t="n"/>
      <c r="H189" s="4" t="n"/>
      <c r="I189" s="5" t="n"/>
      <c r="J189" s="5" t="n"/>
      <c r="K189" s="5" t="n"/>
      <c r="L189" s="5" t="n"/>
      <c r="M189" s="5" t="n"/>
      <c r="N189" s="4" t="n"/>
      <c r="O189" s="4" t="n"/>
      <c r="P189" s="20" t="n"/>
      <c r="Q189" s="30" t="n"/>
      <c r="R189" s="21">
        <f>IF($A189="","",ROUND(P189*Q189,2))</f>
        <v/>
      </c>
      <c r="S189" s="5" t="n"/>
      <c r="T189" s="4" t="n"/>
      <c r="U189" s="5" t="n"/>
      <c r="V189" s="21">
        <f>IF($A189="","",ROUND(P189-R189,2))</f>
        <v/>
      </c>
      <c r="W189" s="5" t="n"/>
      <c r="X189" s="4" t="n"/>
      <c r="Y189" s="5" t="n"/>
      <c r="Z189" s="21">
        <f>IF($A189="","",IF(T189="Pagado",N(R189),0)+IF(X189="Pagado",N(V189),0))</f>
        <v/>
      </c>
      <c r="AA189" s="21">
        <f>IF($A189="","",ROUND(N(P189)-N(Z189),2))</f>
        <v/>
      </c>
      <c r="AB189" s="21">
        <f>IF($A189="","",SUMIF('OTROS COMPONENTES'!$A$4:$A$200,$A189,'OTROS COMPONENTES'!$D$4:$D$200))</f>
        <v/>
      </c>
      <c r="AC189" s="21">
        <f>IF($A189="","",SUMIF('OTROS COMPONENTES'!$A$4:$A$200,$A189,'OTROS COMPONENTES'!$E$4:$E$200))</f>
        <v/>
      </c>
      <c r="AD189" s="21">
        <f>IF($A189="","",ROUND(N(AB189)-N(AC189),2))</f>
        <v/>
      </c>
      <c r="AE189" s="21">
        <f>IF($A189="","",ROUND(N(P189)+N(AB189),2))</f>
        <v/>
      </c>
      <c r="AF189" s="21">
        <f>IF($A189="","",ROUND(N(Z189)+N(AC189),2))</f>
        <v/>
      </c>
      <c r="AG189" s="21">
        <f>IF($A189="","",ROUND(N(AA189)+N(AD189),2))</f>
        <v/>
      </c>
      <c r="AH189" s="9">
        <f>IF($A189="","",IF(OR($H189="Por confirmar",$H189="Cerrado"),"No","Sí"))</f>
        <v/>
      </c>
      <c r="AI189" s="21">
        <f>IF($A189="","",IF(AH189="No",0,IF(RESUMEN!$B$4="Saldo por pagar al fabricante",AA189,IF(RESUMEN!$B$4="Monto completo del pedido",P189,IF(OR($H189="Embarcando",$H189="Embarcado"),N(AA189),N(P189))))))</f>
        <v/>
      </c>
      <c r="AJ189" s="9">
        <f>IF($A189="","",IF(COUNTIF($A$4:$A$200,$A189)&gt;1,"ID_Pedido repetido",IF(N($P189)&lt;=0,"Falta el costo del fabricante",IF($F189="","Falta el proyecto",IF($G189="","Falta el cliente",IF(AND($H189&lt;&gt;"Por confirmar",N($R189)&gt;0,$T189=""),"Falta el estado del anticipo",IF(AND($H189&lt;&gt;"Por confirmar",N($V189)&gt;0,$X189=""),"Falta el estado del balance",IF($E189&gt;1,""&amp;$E189&amp;" equipos en una fila: pártela en una por proyecto",IF(AND($X189="Pendiente",N($V189)&gt;0,$W189=""),"Falta la fecha en que vence el balance",IF(AND($H189&lt;&gt;"Por confirmar",$H189&lt;&gt;"Cerrado",$AI189=0),"Consume 0 de cupo pero no está Por confirmar",""))))))))))</f>
        <v/>
      </c>
      <c r="AK189" s="4" t="n"/>
    </row>
    <row r="190">
      <c r="A190" s="4" t="n"/>
      <c r="B190" s="4" t="n"/>
      <c r="C190" s="4" t="n"/>
      <c r="D190" s="4" t="n"/>
      <c r="E190" s="4" t="n"/>
      <c r="F190" s="4" t="n"/>
      <c r="G190" s="4" t="n"/>
      <c r="H190" s="4" t="n"/>
      <c r="I190" s="5" t="n"/>
      <c r="J190" s="5" t="n"/>
      <c r="K190" s="5" t="n"/>
      <c r="L190" s="5" t="n"/>
      <c r="M190" s="5" t="n"/>
      <c r="N190" s="4" t="n"/>
      <c r="O190" s="4" t="n"/>
      <c r="P190" s="20" t="n"/>
      <c r="Q190" s="30" t="n"/>
      <c r="R190" s="21">
        <f>IF($A190="","",ROUND(P190*Q190,2))</f>
        <v/>
      </c>
      <c r="S190" s="5" t="n"/>
      <c r="T190" s="4" t="n"/>
      <c r="U190" s="5" t="n"/>
      <c r="V190" s="21">
        <f>IF($A190="","",ROUND(P190-R190,2))</f>
        <v/>
      </c>
      <c r="W190" s="5" t="n"/>
      <c r="X190" s="4" t="n"/>
      <c r="Y190" s="5" t="n"/>
      <c r="Z190" s="21">
        <f>IF($A190="","",IF(T190="Pagado",N(R190),0)+IF(X190="Pagado",N(V190),0))</f>
        <v/>
      </c>
      <c r="AA190" s="21">
        <f>IF($A190="","",ROUND(N(P190)-N(Z190),2))</f>
        <v/>
      </c>
      <c r="AB190" s="21">
        <f>IF($A190="","",SUMIF('OTROS COMPONENTES'!$A$4:$A$200,$A190,'OTROS COMPONENTES'!$D$4:$D$200))</f>
        <v/>
      </c>
      <c r="AC190" s="21">
        <f>IF($A190="","",SUMIF('OTROS COMPONENTES'!$A$4:$A$200,$A190,'OTROS COMPONENTES'!$E$4:$E$200))</f>
        <v/>
      </c>
      <c r="AD190" s="21">
        <f>IF($A190="","",ROUND(N(AB190)-N(AC190),2))</f>
        <v/>
      </c>
      <c r="AE190" s="21">
        <f>IF($A190="","",ROUND(N(P190)+N(AB190),2))</f>
        <v/>
      </c>
      <c r="AF190" s="21">
        <f>IF($A190="","",ROUND(N(Z190)+N(AC190),2))</f>
        <v/>
      </c>
      <c r="AG190" s="21">
        <f>IF($A190="","",ROUND(N(AA190)+N(AD190),2))</f>
        <v/>
      </c>
      <c r="AH190" s="9">
        <f>IF($A190="","",IF(OR($H190="Por confirmar",$H190="Cerrado"),"No","Sí"))</f>
        <v/>
      </c>
      <c r="AI190" s="21">
        <f>IF($A190="","",IF(AH190="No",0,IF(RESUMEN!$B$4="Saldo por pagar al fabricante",AA190,IF(RESUMEN!$B$4="Monto completo del pedido",P190,IF(OR($H190="Embarcando",$H190="Embarcado"),N(AA190),N(P190))))))</f>
        <v/>
      </c>
      <c r="AJ190" s="9">
        <f>IF($A190="","",IF(COUNTIF($A$4:$A$200,$A190)&gt;1,"ID_Pedido repetido",IF(N($P190)&lt;=0,"Falta el costo del fabricante",IF($F190="","Falta el proyecto",IF($G190="","Falta el cliente",IF(AND($H190&lt;&gt;"Por confirmar",N($R190)&gt;0,$T190=""),"Falta el estado del anticipo",IF(AND($H190&lt;&gt;"Por confirmar",N($V190)&gt;0,$X190=""),"Falta el estado del balance",IF($E190&gt;1,""&amp;$E190&amp;" equipos en una fila: pártela en una por proyecto",IF(AND($X190="Pendiente",N($V190)&gt;0,$W190=""),"Falta la fecha en que vence el balance",IF(AND($H190&lt;&gt;"Por confirmar",$H190&lt;&gt;"Cerrado",$AI190=0),"Consume 0 de cupo pero no está Por confirmar",""))))))))))</f>
        <v/>
      </c>
      <c r="AK190" s="4" t="n"/>
    </row>
    <row r="191">
      <c r="A191" s="4" t="n"/>
      <c r="B191" s="4" t="n"/>
      <c r="C191" s="4" t="n"/>
      <c r="D191" s="4" t="n"/>
      <c r="E191" s="4" t="n"/>
      <c r="F191" s="4" t="n"/>
      <c r="G191" s="4" t="n"/>
      <c r="H191" s="4" t="n"/>
      <c r="I191" s="5" t="n"/>
      <c r="J191" s="5" t="n"/>
      <c r="K191" s="5" t="n"/>
      <c r="L191" s="5" t="n"/>
      <c r="M191" s="5" t="n"/>
      <c r="N191" s="4" t="n"/>
      <c r="O191" s="4" t="n"/>
      <c r="P191" s="20" t="n"/>
      <c r="Q191" s="30" t="n"/>
      <c r="R191" s="21">
        <f>IF($A191="","",ROUND(P191*Q191,2))</f>
        <v/>
      </c>
      <c r="S191" s="5" t="n"/>
      <c r="T191" s="4" t="n"/>
      <c r="U191" s="5" t="n"/>
      <c r="V191" s="21">
        <f>IF($A191="","",ROUND(P191-R191,2))</f>
        <v/>
      </c>
      <c r="W191" s="5" t="n"/>
      <c r="X191" s="4" t="n"/>
      <c r="Y191" s="5" t="n"/>
      <c r="Z191" s="21">
        <f>IF($A191="","",IF(T191="Pagado",N(R191),0)+IF(X191="Pagado",N(V191),0))</f>
        <v/>
      </c>
      <c r="AA191" s="21">
        <f>IF($A191="","",ROUND(N(P191)-N(Z191),2))</f>
        <v/>
      </c>
      <c r="AB191" s="21">
        <f>IF($A191="","",SUMIF('OTROS COMPONENTES'!$A$4:$A$200,$A191,'OTROS COMPONENTES'!$D$4:$D$200))</f>
        <v/>
      </c>
      <c r="AC191" s="21">
        <f>IF($A191="","",SUMIF('OTROS COMPONENTES'!$A$4:$A$200,$A191,'OTROS COMPONENTES'!$E$4:$E$200))</f>
        <v/>
      </c>
      <c r="AD191" s="21">
        <f>IF($A191="","",ROUND(N(AB191)-N(AC191),2))</f>
        <v/>
      </c>
      <c r="AE191" s="21">
        <f>IF($A191="","",ROUND(N(P191)+N(AB191),2))</f>
        <v/>
      </c>
      <c r="AF191" s="21">
        <f>IF($A191="","",ROUND(N(Z191)+N(AC191),2))</f>
        <v/>
      </c>
      <c r="AG191" s="21">
        <f>IF($A191="","",ROUND(N(AA191)+N(AD191),2))</f>
        <v/>
      </c>
      <c r="AH191" s="9">
        <f>IF($A191="","",IF(OR($H191="Por confirmar",$H191="Cerrado"),"No","Sí"))</f>
        <v/>
      </c>
      <c r="AI191" s="21">
        <f>IF($A191="","",IF(AH191="No",0,IF(RESUMEN!$B$4="Saldo por pagar al fabricante",AA191,IF(RESUMEN!$B$4="Monto completo del pedido",P191,IF(OR($H191="Embarcando",$H191="Embarcado"),N(AA191),N(P191))))))</f>
        <v/>
      </c>
      <c r="AJ191" s="9">
        <f>IF($A191="","",IF(COUNTIF($A$4:$A$200,$A191)&gt;1,"ID_Pedido repetido",IF(N($P191)&lt;=0,"Falta el costo del fabricante",IF($F191="","Falta el proyecto",IF($G191="","Falta el cliente",IF(AND($H191&lt;&gt;"Por confirmar",N($R191)&gt;0,$T191=""),"Falta el estado del anticipo",IF(AND($H191&lt;&gt;"Por confirmar",N($V191)&gt;0,$X191=""),"Falta el estado del balance",IF($E191&gt;1,""&amp;$E191&amp;" equipos en una fila: pártela en una por proyecto",IF(AND($X191="Pendiente",N($V191)&gt;0,$W191=""),"Falta la fecha en que vence el balance",IF(AND($H191&lt;&gt;"Por confirmar",$H191&lt;&gt;"Cerrado",$AI191=0),"Consume 0 de cupo pero no está Por confirmar",""))))))))))</f>
        <v/>
      </c>
      <c r="AK191" s="4" t="n"/>
    </row>
    <row r="192">
      <c r="A192" s="4" t="n"/>
      <c r="B192" s="4" t="n"/>
      <c r="C192" s="4" t="n"/>
      <c r="D192" s="4" t="n"/>
      <c r="E192" s="4" t="n"/>
      <c r="F192" s="4" t="n"/>
      <c r="G192" s="4" t="n"/>
      <c r="H192" s="4" t="n"/>
      <c r="I192" s="5" t="n"/>
      <c r="J192" s="5" t="n"/>
      <c r="K192" s="5" t="n"/>
      <c r="L192" s="5" t="n"/>
      <c r="M192" s="5" t="n"/>
      <c r="N192" s="4" t="n"/>
      <c r="O192" s="4" t="n"/>
      <c r="P192" s="20" t="n"/>
      <c r="Q192" s="30" t="n"/>
      <c r="R192" s="21">
        <f>IF($A192="","",ROUND(P192*Q192,2))</f>
        <v/>
      </c>
      <c r="S192" s="5" t="n"/>
      <c r="T192" s="4" t="n"/>
      <c r="U192" s="5" t="n"/>
      <c r="V192" s="21">
        <f>IF($A192="","",ROUND(P192-R192,2))</f>
        <v/>
      </c>
      <c r="W192" s="5" t="n"/>
      <c r="X192" s="4" t="n"/>
      <c r="Y192" s="5" t="n"/>
      <c r="Z192" s="21">
        <f>IF($A192="","",IF(T192="Pagado",N(R192),0)+IF(X192="Pagado",N(V192),0))</f>
        <v/>
      </c>
      <c r="AA192" s="21">
        <f>IF($A192="","",ROUND(N(P192)-N(Z192),2))</f>
        <v/>
      </c>
      <c r="AB192" s="21">
        <f>IF($A192="","",SUMIF('OTROS COMPONENTES'!$A$4:$A$200,$A192,'OTROS COMPONENTES'!$D$4:$D$200))</f>
        <v/>
      </c>
      <c r="AC192" s="21">
        <f>IF($A192="","",SUMIF('OTROS COMPONENTES'!$A$4:$A$200,$A192,'OTROS COMPONENTES'!$E$4:$E$200))</f>
        <v/>
      </c>
      <c r="AD192" s="21">
        <f>IF($A192="","",ROUND(N(AB192)-N(AC192),2))</f>
        <v/>
      </c>
      <c r="AE192" s="21">
        <f>IF($A192="","",ROUND(N(P192)+N(AB192),2))</f>
        <v/>
      </c>
      <c r="AF192" s="21">
        <f>IF($A192="","",ROUND(N(Z192)+N(AC192),2))</f>
        <v/>
      </c>
      <c r="AG192" s="21">
        <f>IF($A192="","",ROUND(N(AA192)+N(AD192),2))</f>
        <v/>
      </c>
      <c r="AH192" s="9">
        <f>IF($A192="","",IF(OR($H192="Por confirmar",$H192="Cerrado"),"No","Sí"))</f>
        <v/>
      </c>
      <c r="AI192" s="21">
        <f>IF($A192="","",IF(AH192="No",0,IF(RESUMEN!$B$4="Saldo por pagar al fabricante",AA192,IF(RESUMEN!$B$4="Monto completo del pedido",P192,IF(OR($H192="Embarcando",$H192="Embarcado"),N(AA192),N(P192))))))</f>
        <v/>
      </c>
      <c r="AJ192" s="9">
        <f>IF($A192="","",IF(COUNTIF($A$4:$A$200,$A192)&gt;1,"ID_Pedido repetido",IF(N($P192)&lt;=0,"Falta el costo del fabricante",IF($F192="","Falta el proyecto",IF($G192="","Falta el cliente",IF(AND($H192&lt;&gt;"Por confirmar",N($R192)&gt;0,$T192=""),"Falta el estado del anticipo",IF(AND($H192&lt;&gt;"Por confirmar",N($V192)&gt;0,$X192=""),"Falta el estado del balance",IF($E192&gt;1,""&amp;$E192&amp;" equipos en una fila: pártela en una por proyecto",IF(AND($X192="Pendiente",N($V192)&gt;0,$W192=""),"Falta la fecha en que vence el balance",IF(AND($H192&lt;&gt;"Por confirmar",$H192&lt;&gt;"Cerrado",$AI192=0),"Consume 0 de cupo pero no está Por confirmar",""))))))))))</f>
        <v/>
      </c>
      <c r="AK192" s="4" t="n"/>
    </row>
    <row r="193">
      <c r="A193" s="4" t="n"/>
      <c r="B193" s="4" t="n"/>
      <c r="C193" s="4" t="n"/>
      <c r="D193" s="4" t="n"/>
      <c r="E193" s="4" t="n"/>
      <c r="F193" s="4" t="n"/>
      <c r="G193" s="4" t="n"/>
      <c r="H193" s="4" t="n"/>
      <c r="I193" s="5" t="n"/>
      <c r="J193" s="5" t="n"/>
      <c r="K193" s="5" t="n"/>
      <c r="L193" s="5" t="n"/>
      <c r="M193" s="5" t="n"/>
      <c r="N193" s="4" t="n"/>
      <c r="O193" s="4" t="n"/>
      <c r="P193" s="20" t="n"/>
      <c r="Q193" s="30" t="n"/>
      <c r="R193" s="21">
        <f>IF($A193="","",ROUND(P193*Q193,2))</f>
        <v/>
      </c>
      <c r="S193" s="5" t="n"/>
      <c r="T193" s="4" t="n"/>
      <c r="U193" s="5" t="n"/>
      <c r="V193" s="21">
        <f>IF($A193="","",ROUND(P193-R193,2))</f>
        <v/>
      </c>
      <c r="W193" s="5" t="n"/>
      <c r="X193" s="4" t="n"/>
      <c r="Y193" s="5" t="n"/>
      <c r="Z193" s="21">
        <f>IF($A193="","",IF(T193="Pagado",N(R193),0)+IF(X193="Pagado",N(V193),0))</f>
        <v/>
      </c>
      <c r="AA193" s="21">
        <f>IF($A193="","",ROUND(N(P193)-N(Z193),2))</f>
        <v/>
      </c>
      <c r="AB193" s="21">
        <f>IF($A193="","",SUMIF('OTROS COMPONENTES'!$A$4:$A$200,$A193,'OTROS COMPONENTES'!$D$4:$D$200))</f>
        <v/>
      </c>
      <c r="AC193" s="21">
        <f>IF($A193="","",SUMIF('OTROS COMPONENTES'!$A$4:$A$200,$A193,'OTROS COMPONENTES'!$E$4:$E$200))</f>
        <v/>
      </c>
      <c r="AD193" s="21">
        <f>IF($A193="","",ROUND(N(AB193)-N(AC193),2))</f>
        <v/>
      </c>
      <c r="AE193" s="21">
        <f>IF($A193="","",ROUND(N(P193)+N(AB193),2))</f>
        <v/>
      </c>
      <c r="AF193" s="21">
        <f>IF($A193="","",ROUND(N(Z193)+N(AC193),2))</f>
        <v/>
      </c>
      <c r="AG193" s="21">
        <f>IF($A193="","",ROUND(N(AA193)+N(AD193),2))</f>
        <v/>
      </c>
      <c r="AH193" s="9">
        <f>IF($A193="","",IF(OR($H193="Por confirmar",$H193="Cerrado"),"No","Sí"))</f>
        <v/>
      </c>
      <c r="AI193" s="21">
        <f>IF($A193="","",IF(AH193="No",0,IF(RESUMEN!$B$4="Saldo por pagar al fabricante",AA193,IF(RESUMEN!$B$4="Monto completo del pedido",P193,IF(OR($H193="Embarcando",$H193="Embarcado"),N(AA193),N(P193))))))</f>
        <v/>
      </c>
      <c r="AJ193" s="9">
        <f>IF($A193="","",IF(COUNTIF($A$4:$A$200,$A193)&gt;1,"ID_Pedido repetido",IF(N($P193)&lt;=0,"Falta el costo del fabricante",IF($F193="","Falta el proyecto",IF($G193="","Falta el cliente",IF(AND($H193&lt;&gt;"Por confirmar",N($R193)&gt;0,$T193=""),"Falta el estado del anticipo",IF(AND($H193&lt;&gt;"Por confirmar",N($V193)&gt;0,$X193=""),"Falta el estado del balance",IF($E193&gt;1,""&amp;$E193&amp;" equipos en una fila: pártela en una por proyecto",IF(AND($X193="Pendiente",N($V193)&gt;0,$W193=""),"Falta la fecha en que vence el balance",IF(AND($H193&lt;&gt;"Por confirmar",$H193&lt;&gt;"Cerrado",$AI193=0),"Consume 0 de cupo pero no está Por confirmar",""))))))))))</f>
        <v/>
      </c>
      <c r="AK193" s="4" t="n"/>
    </row>
    <row r="194">
      <c r="A194" s="4" t="n"/>
      <c r="B194" s="4" t="n"/>
      <c r="C194" s="4" t="n"/>
      <c r="D194" s="4" t="n"/>
      <c r="E194" s="4" t="n"/>
      <c r="F194" s="4" t="n"/>
      <c r="G194" s="4" t="n"/>
      <c r="H194" s="4" t="n"/>
      <c r="I194" s="5" t="n"/>
      <c r="J194" s="5" t="n"/>
      <c r="K194" s="5" t="n"/>
      <c r="L194" s="5" t="n"/>
      <c r="M194" s="5" t="n"/>
      <c r="N194" s="4" t="n"/>
      <c r="O194" s="4" t="n"/>
      <c r="P194" s="20" t="n"/>
      <c r="Q194" s="30" t="n"/>
      <c r="R194" s="21">
        <f>IF($A194="","",ROUND(P194*Q194,2))</f>
        <v/>
      </c>
      <c r="S194" s="5" t="n"/>
      <c r="T194" s="4" t="n"/>
      <c r="U194" s="5" t="n"/>
      <c r="V194" s="21">
        <f>IF($A194="","",ROUND(P194-R194,2))</f>
        <v/>
      </c>
      <c r="W194" s="5" t="n"/>
      <c r="X194" s="4" t="n"/>
      <c r="Y194" s="5" t="n"/>
      <c r="Z194" s="21">
        <f>IF($A194="","",IF(T194="Pagado",N(R194),0)+IF(X194="Pagado",N(V194),0))</f>
        <v/>
      </c>
      <c r="AA194" s="21">
        <f>IF($A194="","",ROUND(N(P194)-N(Z194),2))</f>
        <v/>
      </c>
      <c r="AB194" s="21">
        <f>IF($A194="","",SUMIF('OTROS COMPONENTES'!$A$4:$A$200,$A194,'OTROS COMPONENTES'!$D$4:$D$200))</f>
        <v/>
      </c>
      <c r="AC194" s="21">
        <f>IF($A194="","",SUMIF('OTROS COMPONENTES'!$A$4:$A$200,$A194,'OTROS COMPONENTES'!$E$4:$E$200))</f>
        <v/>
      </c>
      <c r="AD194" s="21">
        <f>IF($A194="","",ROUND(N(AB194)-N(AC194),2))</f>
        <v/>
      </c>
      <c r="AE194" s="21">
        <f>IF($A194="","",ROUND(N(P194)+N(AB194),2))</f>
        <v/>
      </c>
      <c r="AF194" s="21">
        <f>IF($A194="","",ROUND(N(Z194)+N(AC194),2))</f>
        <v/>
      </c>
      <c r="AG194" s="21">
        <f>IF($A194="","",ROUND(N(AA194)+N(AD194),2))</f>
        <v/>
      </c>
      <c r="AH194" s="9">
        <f>IF($A194="","",IF(OR($H194="Por confirmar",$H194="Cerrado"),"No","Sí"))</f>
        <v/>
      </c>
      <c r="AI194" s="21">
        <f>IF($A194="","",IF(AH194="No",0,IF(RESUMEN!$B$4="Saldo por pagar al fabricante",AA194,IF(RESUMEN!$B$4="Monto completo del pedido",P194,IF(OR($H194="Embarcando",$H194="Embarcado"),N(AA194),N(P194))))))</f>
        <v/>
      </c>
      <c r="AJ194" s="9">
        <f>IF($A194="","",IF(COUNTIF($A$4:$A$200,$A194)&gt;1,"ID_Pedido repetido",IF(N($P194)&lt;=0,"Falta el costo del fabricante",IF($F194="","Falta el proyecto",IF($G194="","Falta el cliente",IF(AND($H194&lt;&gt;"Por confirmar",N($R194)&gt;0,$T194=""),"Falta el estado del anticipo",IF(AND($H194&lt;&gt;"Por confirmar",N($V194)&gt;0,$X194=""),"Falta el estado del balance",IF($E194&gt;1,""&amp;$E194&amp;" equipos en una fila: pártela en una por proyecto",IF(AND($X194="Pendiente",N($V194)&gt;0,$W194=""),"Falta la fecha en que vence el balance",IF(AND($H194&lt;&gt;"Por confirmar",$H194&lt;&gt;"Cerrado",$AI194=0),"Consume 0 de cupo pero no está Por confirmar",""))))))))))</f>
        <v/>
      </c>
      <c r="AK194" s="4" t="n"/>
    </row>
    <row r="195">
      <c r="A195" s="4" t="n"/>
      <c r="B195" s="4" t="n"/>
      <c r="C195" s="4" t="n"/>
      <c r="D195" s="4" t="n"/>
      <c r="E195" s="4" t="n"/>
      <c r="F195" s="4" t="n"/>
      <c r="G195" s="4" t="n"/>
      <c r="H195" s="4" t="n"/>
      <c r="I195" s="5" t="n"/>
      <c r="J195" s="5" t="n"/>
      <c r="K195" s="5" t="n"/>
      <c r="L195" s="5" t="n"/>
      <c r="M195" s="5" t="n"/>
      <c r="N195" s="4" t="n"/>
      <c r="O195" s="4" t="n"/>
      <c r="P195" s="20" t="n"/>
      <c r="Q195" s="30" t="n"/>
      <c r="R195" s="21">
        <f>IF($A195="","",ROUND(P195*Q195,2))</f>
        <v/>
      </c>
      <c r="S195" s="5" t="n"/>
      <c r="T195" s="4" t="n"/>
      <c r="U195" s="5" t="n"/>
      <c r="V195" s="21">
        <f>IF($A195="","",ROUND(P195-R195,2))</f>
        <v/>
      </c>
      <c r="W195" s="5" t="n"/>
      <c r="X195" s="4" t="n"/>
      <c r="Y195" s="5" t="n"/>
      <c r="Z195" s="21">
        <f>IF($A195="","",IF(T195="Pagado",N(R195),0)+IF(X195="Pagado",N(V195),0))</f>
        <v/>
      </c>
      <c r="AA195" s="21">
        <f>IF($A195="","",ROUND(N(P195)-N(Z195),2))</f>
        <v/>
      </c>
      <c r="AB195" s="21">
        <f>IF($A195="","",SUMIF('OTROS COMPONENTES'!$A$4:$A$200,$A195,'OTROS COMPONENTES'!$D$4:$D$200))</f>
        <v/>
      </c>
      <c r="AC195" s="21">
        <f>IF($A195="","",SUMIF('OTROS COMPONENTES'!$A$4:$A$200,$A195,'OTROS COMPONENTES'!$E$4:$E$200))</f>
        <v/>
      </c>
      <c r="AD195" s="21">
        <f>IF($A195="","",ROUND(N(AB195)-N(AC195),2))</f>
        <v/>
      </c>
      <c r="AE195" s="21">
        <f>IF($A195="","",ROUND(N(P195)+N(AB195),2))</f>
        <v/>
      </c>
      <c r="AF195" s="21">
        <f>IF($A195="","",ROUND(N(Z195)+N(AC195),2))</f>
        <v/>
      </c>
      <c r="AG195" s="21">
        <f>IF($A195="","",ROUND(N(AA195)+N(AD195),2))</f>
        <v/>
      </c>
      <c r="AH195" s="9">
        <f>IF($A195="","",IF(OR($H195="Por confirmar",$H195="Cerrado"),"No","Sí"))</f>
        <v/>
      </c>
      <c r="AI195" s="21">
        <f>IF($A195="","",IF(AH195="No",0,IF(RESUMEN!$B$4="Saldo por pagar al fabricante",AA195,IF(RESUMEN!$B$4="Monto completo del pedido",P195,IF(OR($H195="Embarcando",$H195="Embarcado"),N(AA195),N(P195))))))</f>
        <v/>
      </c>
      <c r="AJ195" s="9">
        <f>IF($A195="","",IF(COUNTIF($A$4:$A$200,$A195)&gt;1,"ID_Pedido repetido",IF(N($P195)&lt;=0,"Falta el costo del fabricante",IF($F195="","Falta el proyecto",IF($G195="","Falta el cliente",IF(AND($H195&lt;&gt;"Por confirmar",N($R195)&gt;0,$T195=""),"Falta el estado del anticipo",IF(AND($H195&lt;&gt;"Por confirmar",N($V195)&gt;0,$X195=""),"Falta el estado del balance",IF($E195&gt;1,""&amp;$E195&amp;" equipos en una fila: pártela en una por proyecto",IF(AND($X195="Pendiente",N($V195)&gt;0,$W195=""),"Falta la fecha en que vence el balance",IF(AND($H195&lt;&gt;"Por confirmar",$H195&lt;&gt;"Cerrado",$AI195=0),"Consume 0 de cupo pero no está Por confirmar",""))))))))))</f>
        <v/>
      </c>
      <c r="AK195" s="4" t="n"/>
    </row>
    <row r="196">
      <c r="A196" s="4" t="n"/>
      <c r="B196" s="4" t="n"/>
      <c r="C196" s="4" t="n"/>
      <c r="D196" s="4" t="n"/>
      <c r="E196" s="4" t="n"/>
      <c r="F196" s="4" t="n"/>
      <c r="G196" s="4" t="n"/>
      <c r="H196" s="4" t="n"/>
      <c r="I196" s="5" t="n"/>
      <c r="J196" s="5" t="n"/>
      <c r="K196" s="5" t="n"/>
      <c r="L196" s="5" t="n"/>
      <c r="M196" s="5" t="n"/>
      <c r="N196" s="4" t="n"/>
      <c r="O196" s="4" t="n"/>
      <c r="P196" s="20" t="n"/>
      <c r="Q196" s="30" t="n"/>
      <c r="R196" s="21">
        <f>IF($A196="","",ROUND(P196*Q196,2))</f>
        <v/>
      </c>
      <c r="S196" s="5" t="n"/>
      <c r="T196" s="4" t="n"/>
      <c r="U196" s="5" t="n"/>
      <c r="V196" s="21">
        <f>IF($A196="","",ROUND(P196-R196,2))</f>
        <v/>
      </c>
      <c r="W196" s="5" t="n"/>
      <c r="X196" s="4" t="n"/>
      <c r="Y196" s="5" t="n"/>
      <c r="Z196" s="21">
        <f>IF($A196="","",IF(T196="Pagado",N(R196),0)+IF(X196="Pagado",N(V196),0))</f>
        <v/>
      </c>
      <c r="AA196" s="21">
        <f>IF($A196="","",ROUND(N(P196)-N(Z196),2))</f>
        <v/>
      </c>
      <c r="AB196" s="21">
        <f>IF($A196="","",SUMIF('OTROS COMPONENTES'!$A$4:$A$200,$A196,'OTROS COMPONENTES'!$D$4:$D$200))</f>
        <v/>
      </c>
      <c r="AC196" s="21">
        <f>IF($A196="","",SUMIF('OTROS COMPONENTES'!$A$4:$A$200,$A196,'OTROS COMPONENTES'!$E$4:$E$200))</f>
        <v/>
      </c>
      <c r="AD196" s="21">
        <f>IF($A196="","",ROUND(N(AB196)-N(AC196),2))</f>
        <v/>
      </c>
      <c r="AE196" s="21">
        <f>IF($A196="","",ROUND(N(P196)+N(AB196),2))</f>
        <v/>
      </c>
      <c r="AF196" s="21">
        <f>IF($A196="","",ROUND(N(Z196)+N(AC196),2))</f>
        <v/>
      </c>
      <c r="AG196" s="21">
        <f>IF($A196="","",ROUND(N(AA196)+N(AD196),2))</f>
        <v/>
      </c>
      <c r="AH196" s="9">
        <f>IF($A196="","",IF(OR($H196="Por confirmar",$H196="Cerrado"),"No","Sí"))</f>
        <v/>
      </c>
      <c r="AI196" s="21">
        <f>IF($A196="","",IF(AH196="No",0,IF(RESUMEN!$B$4="Saldo por pagar al fabricante",AA196,IF(RESUMEN!$B$4="Monto completo del pedido",P196,IF(OR($H196="Embarcando",$H196="Embarcado"),N(AA196),N(P196))))))</f>
        <v/>
      </c>
      <c r="AJ196" s="9">
        <f>IF($A196="","",IF(COUNTIF($A$4:$A$200,$A196)&gt;1,"ID_Pedido repetido",IF(N($P196)&lt;=0,"Falta el costo del fabricante",IF($F196="","Falta el proyecto",IF($G196="","Falta el cliente",IF(AND($H196&lt;&gt;"Por confirmar",N($R196)&gt;0,$T196=""),"Falta el estado del anticipo",IF(AND($H196&lt;&gt;"Por confirmar",N($V196)&gt;0,$X196=""),"Falta el estado del balance",IF($E196&gt;1,""&amp;$E196&amp;" equipos en una fila: pártela en una por proyecto",IF(AND($X196="Pendiente",N($V196)&gt;0,$W196=""),"Falta la fecha en que vence el balance",IF(AND($H196&lt;&gt;"Por confirmar",$H196&lt;&gt;"Cerrado",$AI196=0),"Consume 0 de cupo pero no está Por confirmar",""))))))))))</f>
        <v/>
      </c>
      <c r="AK196" s="4" t="n"/>
    </row>
    <row r="197">
      <c r="A197" s="4" t="n"/>
      <c r="B197" s="4" t="n"/>
      <c r="C197" s="4" t="n"/>
      <c r="D197" s="4" t="n"/>
      <c r="E197" s="4" t="n"/>
      <c r="F197" s="4" t="n"/>
      <c r="G197" s="4" t="n"/>
      <c r="H197" s="4" t="n"/>
      <c r="I197" s="5" t="n"/>
      <c r="J197" s="5" t="n"/>
      <c r="K197" s="5" t="n"/>
      <c r="L197" s="5" t="n"/>
      <c r="M197" s="5" t="n"/>
      <c r="N197" s="4" t="n"/>
      <c r="O197" s="4" t="n"/>
      <c r="P197" s="20" t="n"/>
      <c r="Q197" s="30" t="n"/>
      <c r="R197" s="21">
        <f>IF($A197="","",ROUND(P197*Q197,2))</f>
        <v/>
      </c>
      <c r="S197" s="5" t="n"/>
      <c r="T197" s="4" t="n"/>
      <c r="U197" s="5" t="n"/>
      <c r="V197" s="21">
        <f>IF($A197="","",ROUND(P197-R197,2))</f>
        <v/>
      </c>
      <c r="W197" s="5" t="n"/>
      <c r="X197" s="4" t="n"/>
      <c r="Y197" s="5" t="n"/>
      <c r="Z197" s="21">
        <f>IF($A197="","",IF(T197="Pagado",N(R197),0)+IF(X197="Pagado",N(V197),0))</f>
        <v/>
      </c>
      <c r="AA197" s="21">
        <f>IF($A197="","",ROUND(N(P197)-N(Z197),2))</f>
        <v/>
      </c>
      <c r="AB197" s="21">
        <f>IF($A197="","",SUMIF('OTROS COMPONENTES'!$A$4:$A$200,$A197,'OTROS COMPONENTES'!$D$4:$D$200))</f>
        <v/>
      </c>
      <c r="AC197" s="21">
        <f>IF($A197="","",SUMIF('OTROS COMPONENTES'!$A$4:$A$200,$A197,'OTROS COMPONENTES'!$E$4:$E$200))</f>
        <v/>
      </c>
      <c r="AD197" s="21">
        <f>IF($A197="","",ROUND(N(AB197)-N(AC197),2))</f>
        <v/>
      </c>
      <c r="AE197" s="21">
        <f>IF($A197="","",ROUND(N(P197)+N(AB197),2))</f>
        <v/>
      </c>
      <c r="AF197" s="21">
        <f>IF($A197="","",ROUND(N(Z197)+N(AC197),2))</f>
        <v/>
      </c>
      <c r="AG197" s="21">
        <f>IF($A197="","",ROUND(N(AA197)+N(AD197),2))</f>
        <v/>
      </c>
      <c r="AH197" s="9">
        <f>IF($A197="","",IF(OR($H197="Por confirmar",$H197="Cerrado"),"No","Sí"))</f>
        <v/>
      </c>
      <c r="AI197" s="21">
        <f>IF($A197="","",IF(AH197="No",0,IF(RESUMEN!$B$4="Saldo por pagar al fabricante",AA197,IF(RESUMEN!$B$4="Monto completo del pedido",P197,IF(OR($H197="Embarcando",$H197="Embarcado"),N(AA197),N(P197))))))</f>
        <v/>
      </c>
      <c r="AJ197" s="9">
        <f>IF($A197="","",IF(COUNTIF($A$4:$A$200,$A197)&gt;1,"ID_Pedido repetido",IF(N($P197)&lt;=0,"Falta el costo del fabricante",IF($F197="","Falta el proyecto",IF($G197="","Falta el cliente",IF(AND($H197&lt;&gt;"Por confirmar",N($R197)&gt;0,$T197=""),"Falta el estado del anticipo",IF(AND($H197&lt;&gt;"Por confirmar",N($V197)&gt;0,$X197=""),"Falta el estado del balance",IF($E197&gt;1,""&amp;$E197&amp;" equipos en una fila: pártela en una por proyecto",IF(AND($X197="Pendiente",N($V197)&gt;0,$W197=""),"Falta la fecha en que vence el balance",IF(AND($H197&lt;&gt;"Por confirmar",$H197&lt;&gt;"Cerrado",$AI197=0),"Consume 0 de cupo pero no está Por confirmar",""))))))))))</f>
        <v/>
      </c>
      <c r="AK197" s="4" t="n"/>
    </row>
    <row r="198">
      <c r="A198" s="4" t="n"/>
      <c r="B198" s="4" t="n"/>
      <c r="C198" s="4" t="n"/>
      <c r="D198" s="4" t="n"/>
      <c r="E198" s="4" t="n"/>
      <c r="F198" s="4" t="n"/>
      <c r="G198" s="4" t="n"/>
      <c r="H198" s="4" t="n"/>
      <c r="I198" s="5" t="n"/>
      <c r="J198" s="5" t="n"/>
      <c r="K198" s="5" t="n"/>
      <c r="L198" s="5" t="n"/>
      <c r="M198" s="5" t="n"/>
      <c r="N198" s="4" t="n"/>
      <c r="O198" s="4" t="n"/>
      <c r="P198" s="20" t="n"/>
      <c r="Q198" s="30" t="n"/>
      <c r="R198" s="21">
        <f>IF($A198="","",ROUND(P198*Q198,2))</f>
        <v/>
      </c>
      <c r="S198" s="5" t="n"/>
      <c r="T198" s="4" t="n"/>
      <c r="U198" s="5" t="n"/>
      <c r="V198" s="21">
        <f>IF($A198="","",ROUND(P198-R198,2))</f>
        <v/>
      </c>
      <c r="W198" s="5" t="n"/>
      <c r="X198" s="4" t="n"/>
      <c r="Y198" s="5" t="n"/>
      <c r="Z198" s="21">
        <f>IF($A198="","",IF(T198="Pagado",N(R198),0)+IF(X198="Pagado",N(V198),0))</f>
        <v/>
      </c>
      <c r="AA198" s="21">
        <f>IF($A198="","",ROUND(N(P198)-N(Z198),2))</f>
        <v/>
      </c>
      <c r="AB198" s="21">
        <f>IF($A198="","",SUMIF('OTROS COMPONENTES'!$A$4:$A$200,$A198,'OTROS COMPONENTES'!$D$4:$D$200))</f>
        <v/>
      </c>
      <c r="AC198" s="21">
        <f>IF($A198="","",SUMIF('OTROS COMPONENTES'!$A$4:$A$200,$A198,'OTROS COMPONENTES'!$E$4:$E$200))</f>
        <v/>
      </c>
      <c r="AD198" s="21">
        <f>IF($A198="","",ROUND(N(AB198)-N(AC198),2))</f>
        <v/>
      </c>
      <c r="AE198" s="21">
        <f>IF($A198="","",ROUND(N(P198)+N(AB198),2))</f>
        <v/>
      </c>
      <c r="AF198" s="21">
        <f>IF($A198="","",ROUND(N(Z198)+N(AC198),2))</f>
        <v/>
      </c>
      <c r="AG198" s="21">
        <f>IF($A198="","",ROUND(N(AA198)+N(AD198),2))</f>
        <v/>
      </c>
      <c r="AH198" s="9">
        <f>IF($A198="","",IF(OR($H198="Por confirmar",$H198="Cerrado"),"No","Sí"))</f>
        <v/>
      </c>
      <c r="AI198" s="21">
        <f>IF($A198="","",IF(AH198="No",0,IF(RESUMEN!$B$4="Saldo por pagar al fabricante",AA198,IF(RESUMEN!$B$4="Monto completo del pedido",P198,IF(OR($H198="Embarcando",$H198="Embarcado"),N(AA198),N(P198))))))</f>
        <v/>
      </c>
      <c r="AJ198" s="9">
        <f>IF($A198="","",IF(COUNTIF($A$4:$A$200,$A198)&gt;1,"ID_Pedido repetido",IF(N($P198)&lt;=0,"Falta el costo del fabricante",IF($F198="","Falta el proyecto",IF($G198="","Falta el cliente",IF(AND($H198&lt;&gt;"Por confirmar",N($R198)&gt;0,$T198=""),"Falta el estado del anticipo",IF(AND($H198&lt;&gt;"Por confirmar",N($V198)&gt;0,$X198=""),"Falta el estado del balance",IF($E198&gt;1,""&amp;$E198&amp;" equipos en una fila: pártela en una por proyecto",IF(AND($X198="Pendiente",N($V198)&gt;0,$W198=""),"Falta la fecha en que vence el balance",IF(AND($H198&lt;&gt;"Por confirmar",$H198&lt;&gt;"Cerrado",$AI198=0),"Consume 0 de cupo pero no está Por confirmar",""))))))))))</f>
        <v/>
      </c>
      <c r="AK198" s="4" t="n"/>
    </row>
    <row r="199">
      <c r="A199" s="4" t="n"/>
      <c r="B199" s="4" t="n"/>
      <c r="C199" s="4" t="n"/>
      <c r="D199" s="4" t="n"/>
      <c r="E199" s="4" t="n"/>
      <c r="F199" s="4" t="n"/>
      <c r="G199" s="4" t="n"/>
      <c r="H199" s="4" t="n"/>
      <c r="I199" s="5" t="n"/>
      <c r="J199" s="5" t="n"/>
      <c r="K199" s="5" t="n"/>
      <c r="L199" s="5" t="n"/>
      <c r="M199" s="5" t="n"/>
      <c r="N199" s="4" t="n"/>
      <c r="O199" s="4" t="n"/>
      <c r="P199" s="20" t="n"/>
      <c r="Q199" s="30" t="n"/>
      <c r="R199" s="21">
        <f>IF($A199="","",ROUND(P199*Q199,2))</f>
        <v/>
      </c>
      <c r="S199" s="5" t="n"/>
      <c r="T199" s="4" t="n"/>
      <c r="U199" s="5" t="n"/>
      <c r="V199" s="21">
        <f>IF($A199="","",ROUND(P199-R199,2))</f>
        <v/>
      </c>
      <c r="W199" s="5" t="n"/>
      <c r="X199" s="4" t="n"/>
      <c r="Y199" s="5" t="n"/>
      <c r="Z199" s="21">
        <f>IF($A199="","",IF(T199="Pagado",N(R199),0)+IF(X199="Pagado",N(V199),0))</f>
        <v/>
      </c>
      <c r="AA199" s="21">
        <f>IF($A199="","",ROUND(N(P199)-N(Z199),2))</f>
        <v/>
      </c>
      <c r="AB199" s="21">
        <f>IF($A199="","",SUMIF('OTROS COMPONENTES'!$A$4:$A$200,$A199,'OTROS COMPONENTES'!$D$4:$D$200))</f>
        <v/>
      </c>
      <c r="AC199" s="21">
        <f>IF($A199="","",SUMIF('OTROS COMPONENTES'!$A$4:$A$200,$A199,'OTROS COMPONENTES'!$E$4:$E$200))</f>
        <v/>
      </c>
      <c r="AD199" s="21">
        <f>IF($A199="","",ROUND(N(AB199)-N(AC199),2))</f>
        <v/>
      </c>
      <c r="AE199" s="21">
        <f>IF($A199="","",ROUND(N(P199)+N(AB199),2))</f>
        <v/>
      </c>
      <c r="AF199" s="21">
        <f>IF($A199="","",ROUND(N(Z199)+N(AC199),2))</f>
        <v/>
      </c>
      <c r="AG199" s="21">
        <f>IF($A199="","",ROUND(N(AA199)+N(AD199),2))</f>
        <v/>
      </c>
      <c r="AH199" s="9">
        <f>IF($A199="","",IF(OR($H199="Por confirmar",$H199="Cerrado"),"No","Sí"))</f>
        <v/>
      </c>
      <c r="AI199" s="21">
        <f>IF($A199="","",IF(AH199="No",0,IF(RESUMEN!$B$4="Saldo por pagar al fabricante",AA199,IF(RESUMEN!$B$4="Monto completo del pedido",P199,IF(OR($H199="Embarcando",$H199="Embarcado"),N(AA199),N(P199))))))</f>
        <v/>
      </c>
      <c r="AJ199" s="9">
        <f>IF($A199="","",IF(COUNTIF($A$4:$A$200,$A199)&gt;1,"ID_Pedido repetido",IF(N($P199)&lt;=0,"Falta el costo del fabricante",IF($F199="","Falta el proyecto",IF($G199="","Falta el cliente",IF(AND($H199&lt;&gt;"Por confirmar",N($R199)&gt;0,$T199=""),"Falta el estado del anticipo",IF(AND($H199&lt;&gt;"Por confirmar",N($V199)&gt;0,$X199=""),"Falta el estado del balance",IF($E199&gt;1,""&amp;$E199&amp;" equipos en una fila: pártela en una por proyecto",IF(AND($X199="Pendiente",N($V199)&gt;0,$W199=""),"Falta la fecha en que vence el balance",IF(AND($H199&lt;&gt;"Por confirmar",$H199&lt;&gt;"Cerrado",$AI199=0),"Consume 0 de cupo pero no está Por confirmar",""))))))))))</f>
        <v/>
      </c>
      <c r="AK199" s="4" t="n"/>
    </row>
    <row r="200">
      <c r="A200" s="4" t="n"/>
      <c r="B200" s="4" t="n"/>
      <c r="C200" s="4" t="n"/>
      <c r="D200" s="4" t="n"/>
      <c r="E200" s="4" t="n"/>
      <c r="F200" s="4" t="n"/>
      <c r="G200" s="4" t="n"/>
      <c r="H200" s="4" t="n"/>
      <c r="I200" s="5" t="n"/>
      <c r="J200" s="5" t="n"/>
      <c r="K200" s="5" t="n"/>
      <c r="L200" s="5" t="n"/>
      <c r="M200" s="5" t="n"/>
      <c r="N200" s="4" t="n"/>
      <c r="O200" s="4" t="n"/>
      <c r="P200" s="20" t="n"/>
      <c r="Q200" s="30" t="n"/>
      <c r="R200" s="21">
        <f>IF($A200="","",ROUND(P200*Q200,2))</f>
        <v/>
      </c>
      <c r="S200" s="5" t="n"/>
      <c r="T200" s="4" t="n"/>
      <c r="U200" s="5" t="n"/>
      <c r="V200" s="21">
        <f>IF($A200="","",ROUND(P200-R200,2))</f>
        <v/>
      </c>
      <c r="W200" s="5" t="n"/>
      <c r="X200" s="4" t="n"/>
      <c r="Y200" s="5" t="n"/>
      <c r="Z200" s="21">
        <f>IF($A200="","",IF(T200="Pagado",N(R200),0)+IF(X200="Pagado",N(V200),0))</f>
        <v/>
      </c>
      <c r="AA200" s="21">
        <f>IF($A200="","",ROUND(N(P200)-N(Z200),2))</f>
        <v/>
      </c>
      <c r="AB200" s="21">
        <f>IF($A200="","",SUMIF('OTROS COMPONENTES'!$A$4:$A$200,$A200,'OTROS COMPONENTES'!$D$4:$D$200))</f>
        <v/>
      </c>
      <c r="AC200" s="21">
        <f>IF($A200="","",SUMIF('OTROS COMPONENTES'!$A$4:$A$200,$A200,'OTROS COMPONENTES'!$E$4:$E$200))</f>
        <v/>
      </c>
      <c r="AD200" s="21">
        <f>IF($A200="","",ROUND(N(AB200)-N(AC200),2))</f>
        <v/>
      </c>
      <c r="AE200" s="21">
        <f>IF($A200="","",ROUND(N(P200)+N(AB200),2))</f>
        <v/>
      </c>
      <c r="AF200" s="21">
        <f>IF($A200="","",ROUND(N(Z200)+N(AC200),2))</f>
        <v/>
      </c>
      <c r="AG200" s="21">
        <f>IF($A200="","",ROUND(N(AA200)+N(AD200),2))</f>
        <v/>
      </c>
      <c r="AH200" s="9">
        <f>IF($A200="","",IF(OR($H200="Por confirmar",$H200="Cerrado"),"No","Sí"))</f>
        <v/>
      </c>
      <c r="AI200" s="21">
        <f>IF($A200="","",IF(AH200="No",0,IF(RESUMEN!$B$4="Saldo por pagar al fabricante",AA200,IF(RESUMEN!$B$4="Monto completo del pedido",P200,IF(OR($H200="Embarcando",$H200="Embarcado"),N(AA200),N(P200))))))</f>
        <v/>
      </c>
      <c r="AJ200" s="9">
        <f>IF($A200="","",IF(COUNTIF($A$4:$A$200,$A200)&gt;1,"ID_Pedido repetido",IF(N($P200)&lt;=0,"Falta el costo del fabricante",IF($F200="","Falta el proyecto",IF($G200="","Falta el cliente",IF(AND($H200&lt;&gt;"Por confirmar",N($R200)&gt;0,$T200=""),"Falta el estado del anticipo",IF(AND($H200&lt;&gt;"Por confirmar",N($V200)&gt;0,$X200=""),"Falta el estado del balance",IF($E200&gt;1,""&amp;$E200&amp;" equipos en una fila: pártela en una por proyecto",IF(AND($X200="Pendiente",N($V200)&gt;0,$W200=""),"Falta la fecha en que vence el balance",IF(AND($H200&lt;&gt;"Por confirmar",$H200&lt;&gt;"Cerrado",$AI200=0),"Consume 0 de cupo pero no está Por confirmar",""))))))))))</f>
        <v/>
      </c>
      <c r="AK200" s="4" t="n"/>
    </row>
  </sheetData>
  <autoFilter ref="A3:AK200"/>
  <mergeCells count="2">
    <mergeCell ref="A2:N2"/>
    <mergeCell ref="A1:H1"/>
  </mergeCells>
  <dataValidations count="7">
    <dataValidation sqref="C4:C200" showDropDown="0" showInputMessage="0" showErrorMessage="1" allowBlank="1" errorTitle="Fabricante" error="Escribe exactamente Singsun o Eaglerise." type="list">
      <formula1>"Singsun,Eaglerise"</formula1>
    </dataValidation>
    <dataValidation sqref="D4:D200" showDropDown="0" showInputMessage="0" showErrorMessage="1" allowBlank="1" errorTitle="Equipo" error="Tracker o Shelter." type="list">
      <formula1>"Tracker,Shelter"</formula1>
    </dataValidation>
    <dataValidation sqref="H4:H200" showDropDown="0" showInputMessage="0" showErrorMessage="1" allowBlank="1" errorTitle="Estado" error="Usa uno de los siete estados de la lista." type="list">
      <formula1>"Por confirmar,En producción,Producción terminada,Embarque reservado,Embarcando,Embarcado,Cerrado"</formula1>
    </dataValidation>
    <dataValidation sqref="O4:O200" showDropDown="0" showInputMessage="0" showErrorMessage="1" allowBlank="1" errorTitle="Telex" error="Released o Pending." type="list">
      <formula1>"Released,Pending"</formula1>
    </dataValidation>
    <dataValidation sqref="T4:T200" showDropDown="0" showInputMessage="0" showErrorMessage="1" allowBlank="1" errorTitle="Estado del anticipo" error="Pagado o Pendiente. Nunca lo dejes vacío ni pongas un guión." type="list">
      <formula1>"Pagado,Pendiente"</formula1>
    </dataValidation>
    <dataValidation sqref="X4:X200" showDropDown="0" showInputMessage="0" showErrorMessage="1" allowBlank="1" errorTitle="Estado del balance" error="Pagado o Pendiente. Nunca lo dejes vacío ni pongas un guión." type="list">
      <formula1>"Pagado,Pendiente"</formula1>
    </dataValidation>
    <dataValidation sqref="G4:G200" showDropDown="0" showInputMessage="0" showErrorMessage="1" allowBlank="1" errorTitle="Cliente" error="Elige un cliente de la lista o escribe uno nuevo." type="list">
      <formula1>"Celsa,Ingenio Verde,Solenium"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0"/>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26" customWidth="1" min="3" max="3"/>
    <col width="14" customWidth="1" min="4" max="4"/>
    <col width="14" customWidth="1" min="5" max="5"/>
    <col width="14" customWidth="1" min="6" max="6"/>
    <col width="12" customWidth="1" min="7" max="7"/>
    <col width="13" customWidth="1" min="8" max="8"/>
    <col width="30" customWidth="1" min="9" max="9"/>
    <col width="26" customWidth="1" min="10" max="10"/>
  </cols>
  <sheetData>
    <row r="1">
      <c r="A1" s="1" t="inlineStr">
        <is>
          <t>OTROS COMPONENTES · lo que se compra por fuera del cupo Sinosure</t>
        </is>
      </c>
    </row>
    <row r="2">
      <c r="A2" s="2" t="inlineStr">
        <is>
          <t>Una fila por pedido y proveedor. Solo aplica a trackers. Si un pedido no tiene otros componentes, no va ninguna fila.</t>
        </is>
      </c>
    </row>
    <row r="3" ht="30" customHeight="1">
      <c r="A3" s="3" t="inlineStr">
        <is>
          <t>ID_Pedido</t>
        </is>
      </c>
      <c r="B3" s="3" t="inlineStr">
        <is>
          <t>Proveedor</t>
        </is>
      </c>
      <c r="C3" s="3" t="inlineStr">
        <is>
          <t>Concepto</t>
        </is>
      </c>
      <c r="D3" s="3" t="inlineStr">
        <is>
          <t>Monto USD</t>
        </is>
      </c>
      <c r="E3" s="3" t="inlineStr">
        <is>
          <t>Pagado USD</t>
        </is>
      </c>
      <c r="F3" s="3" t="inlineStr">
        <is>
          <t>Saldo USD</t>
        </is>
      </c>
      <c r="G3" s="3" t="inlineStr">
        <is>
          <t>Estado</t>
        </is>
      </c>
      <c r="H3" s="3" t="inlineStr">
        <is>
          <t>Vence</t>
        </is>
      </c>
      <c r="I3" s="3" t="inlineStr">
        <is>
          <t>Alertas</t>
        </is>
      </c>
      <c r="J3" s="3" t="inlineStr">
        <is>
          <t>Notas</t>
        </is>
      </c>
    </row>
    <row r="4">
      <c r="A4" s="4" t="inlineStr">
        <is>
          <t>7-2</t>
        </is>
      </c>
      <c r="B4" s="4" t="inlineStr">
        <is>
          <t>Jingwei</t>
        </is>
      </c>
      <c r="C4" s="4" t="inlineStr"/>
      <c r="D4" s="20" t="n">
        <v>11000</v>
      </c>
      <c r="E4" s="20" t="n">
        <v>11000</v>
      </c>
      <c r="F4" s="21">
        <f>IF($A4="","",ROUND(N($D4)-N($E4),2))</f>
        <v/>
      </c>
      <c r="G4" s="9">
        <f>IF($A4="","",IF(N($D4)-N($E4)&lt;=0.5,"Pagado",IF(N($E4)&gt;0.5,"Parcial","Pendiente")))</f>
        <v/>
      </c>
      <c r="H4" s="5" t="n"/>
      <c r="I4" s="10">
        <f>IF($A4="","",IF(COUNTIF(PEDIDOS!$A$4:$A$200,$A4)=0,"Ese ID_Pedido no existe en la hoja PEDIDOS",IF(N($D4)&lt;=0,"Falta el monto",IF(N($E4)&gt;N($D4)+0.5,"Pagado mayor que el monto",""))))</f>
        <v/>
      </c>
      <c r="J4" s="4" t="n"/>
    </row>
    <row r="5">
      <c r="A5" s="4" t="inlineStr">
        <is>
          <t>7-2</t>
        </is>
      </c>
      <c r="B5" s="4" t="inlineStr">
        <is>
          <t>Wenzhong</t>
        </is>
      </c>
      <c r="C5" s="4" t="inlineStr"/>
      <c r="D5" s="20" t="n">
        <v>6405.6</v>
      </c>
      <c r="E5" s="20" t="n">
        <v>6405.6</v>
      </c>
      <c r="F5" s="21">
        <f>IF($A5="","",ROUND(N($D5)-N($E5),2))</f>
        <v/>
      </c>
      <c r="G5" s="9">
        <f>IF($A5="","",IF(N($D5)-N($E5)&lt;=0.5,"Pagado",IF(N($E5)&gt;0.5,"Parcial","Pendiente")))</f>
        <v/>
      </c>
      <c r="H5" s="5" t="n"/>
      <c r="I5" s="10">
        <f>IF($A5="","",IF(COUNTIF(PEDIDOS!$A$4:$A$200,$A5)=0,"Ese ID_Pedido no existe en la hoja PEDIDOS",IF(N($D5)&lt;=0,"Falta el monto",IF(N($E5)&gt;N($D5)+0.5,"Pagado mayor que el monto",""))))</f>
        <v/>
      </c>
      <c r="J5" s="4" t="n"/>
    </row>
    <row r="6">
      <c r="A6" s="4" t="inlineStr">
        <is>
          <t>7-2</t>
        </is>
      </c>
      <c r="B6" s="4" t="inlineStr">
        <is>
          <t>Restar</t>
        </is>
      </c>
      <c r="C6" s="4" t="inlineStr"/>
      <c r="D6" s="20" t="n">
        <v>980</v>
      </c>
      <c r="E6" s="20" t="n">
        <v>980</v>
      </c>
      <c r="F6" s="21">
        <f>IF($A6="","",ROUND(N($D6)-N($E6),2))</f>
        <v/>
      </c>
      <c r="G6" s="9">
        <f>IF($A6="","",IF(N($D6)-N($E6)&lt;=0.5,"Pagado",IF(N($E6)&gt;0.5,"Parcial","Pendiente")))</f>
        <v/>
      </c>
      <c r="H6" s="5" t="n"/>
      <c r="I6" s="10">
        <f>IF($A6="","",IF(COUNTIF(PEDIDOS!$A$4:$A$200,$A6)=0,"Ese ID_Pedido no existe en la hoja PEDIDOS",IF(N($D6)&lt;=0,"Falta el monto",IF(N($E6)&gt;N($D6)+0.5,"Pagado mayor que el monto",""))))</f>
        <v/>
      </c>
      <c r="J6" s="4" t="n"/>
    </row>
    <row r="7">
      <c r="A7" s="4" t="inlineStr">
        <is>
          <t>7-3</t>
        </is>
      </c>
      <c r="B7" s="4" t="inlineStr">
        <is>
          <t>Jingwei</t>
        </is>
      </c>
      <c r="C7" s="4" t="inlineStr"/>
      <c r="D7" s="20" t="n">
        <v>11000</v>
      </c>
      <c r="E7" s="20" t="n">
        <v>11000</v>
      </c>
      <c r="F7" s="21">
        <f>IF($A7="","",ROUND(N($D7)-N($E7),2))</f>
        <v/>
      </c>
      <c r="G7" s="9">
        <f>IF($A7="","",IF(N($D7)-N($E7)&lt;=0.5,"Pagado",IF(N($E7)&gt;0.5,"Parcial","Pendiente")))</f>
        <v/>
      </c>
      <c r="H7" s="5" t="n"/>
      <c r="I7" s="10">
        <f>IF($A7="","",IF(COUNTIF(PEDIDOS!$A$4:$A$200,$A7)=0,"Ese ID_Pedido no existe en la hoja PEDIDOS",IF(N($D7)&lt;=0,"Falta el monto",IF(N($E7)&gt;N($D7)+0.5,"Pagado mayor que el monto",""))))</f>
        <v/>
      </c>
      <c r="J7" s="4" t="n"/>
    </row>
    <row r="8">
      <c r="A8" s="4" t="inlineStr">
        <is>
          <t>7-3</t>
        </is>
      </c>
      <c r="B8" s="4" t="inlineStr">
        <is>
          <t>Wenzhong</t>
        </is>
      </c>
      <c r="C8" s="4" t="inlineStr"/>
      <c r="D8" s="20" t="n">
        <v>6405.6</v>
      </c>
      <c r="E8" s="20" t="n">
        <v>6405.6</v>
      </c>
      <c r="F8" s="21">
        <f>IF($A8="","",ROUND(N($D8)-N($E8),2))</f>
        <v/>
      </c>
      <c r="G8" s="9">
        <f>IF($A8="","",IF(N($D8)-N($E8)&lt;=0.5,"Pagado",IF(N($E8)&gt;0.5,"Parcial","Pendiente")))</f>
        <v/>
      </c>
      <c r="H8" s="5" t="n"/>
      <c r="I8" s="10">
        <f>IF($A8="","",IF(COUNTIF(PEDIDOS!$A$4:$A$200,$A8)=0,"Ese ID_Pedido no existe en la hoja PEDIDOS",IF(N($D8)&lt;=0,"Falta el monto",IF(N($E8)&gt;N($D8)+0.5,"Pagado mayor que el monto",""))))</f>
        <v/>
      </c>
      <c r="J8" s="4" t="n"/>
    </row>
    <row r="9">
      <c r="A9" s="4" t="inlineStr">
        <is>
          <t>7-3</t>
        </is>
      </c>
      <c r="B9" s="4" t="inlineStr">
        <is>
          <t>Restar</t>
        </is>
      </c>
      <c r="C9" s="4" t="inlineStr"/>
      <c r="D9" s="20" t="n">
        <v>980</v>
      </c>
      <c r="E9" s="20" t="n">
        <v>980</v>
      </c>
      <c r="F9" s="21">
        <f>IF($A9="","",ROUND(N($D9)-N($E9),2))</f>
        <v/>
      </c>
      <c r="G9" s="9">
        <f>IF($A9="","",IF(N($D9)-N($E9)&lt;=0.5,"Pagado",IF(N($E9)&gt;0.5,"Parcial","Pendiente")))</f>
        <v/>
      </c>
      <c r="H9" s="5" t="n"/>
      <c r="I9" s="10">
        <f>IF($A9="","",IF(COUNTIF(PEDIDOS!$A$4:$A$200,$A9)=0,"Ese ID_Pedido no existe en la hoja PEDIDOS",IF(N($D9)&lt;=0,"Falta el monto",IF(N($E9)&gt;N($D9)+0.5,"Pagado mayor que el monto",""))))</f>
        <v/>
      </c>
      <c r="J9" s="4" t="n"/>
    </row>
    <row r="10">
      <c r="A10" s="4" t="inlineStr">
        <is>
          <t>7-4</t>
        </is>
      </c>
      <c r="B10" s="4" t="inlineStr">
        <is>
          <t>Jingwei</t>
        </is>
      </c>
      <c r="C10" s="4" t="inlineStr"/>
      <c r="D10" s="20" t="n">
        <v>11000</v>
      </c>
      <c r="E10" s="20" t="n">
        <v>11000</v>
      </c>
      <c r="F10" s="21">
        <f>IF($A10="","",ROUND(N($D10)-N($E10),2))</f>
        <v/>
      </c>
      <c r="G10" s="9">
        <f>IF($A10="","",IF(N($D10)-N($E10)&lt;=0.5,"Pagado",IF(N($E10)&gt;0.5,"Parcial","Pendiente")))</f>
        <v/>
      </c>
      <c r="H10" s="5" t="n"/>
      <c r="I10" s="10">
        <f>IF($A10="","",IF(COUNTIF(PEDIDOS!$A$4:$A$200,$A10)=0,"Ese ID_Pedido no existe en la hoja PEDIDOS",IF(N($D10)&lt;=0,"Falta el monto",IF(N($E10)&gt;N($D10)+0.5,"Pagado mayor que el monto",""))))</f>
        <v/>
      </c>
      <c r="J10" s="4" t="n"/>
    </row>
    <row r="11">
      <c r="A11" s="4" t="inlineStr">
        <is>
          <t>7-4</t>
        </is>
      </c>
      <c r="B11" s="4" t="inlineStr">
        <is>
          <t>Wenzhong</t>
        </is>
      </c>
      <c r="C11" s="4" t="inlineStr"/>
      <c r="D11" s="20" t="n">
        <v>6405.6</v>
      </c>
      <c r="E11" s="20" t="n">
        <v>6405.6</v>
      </c>
      <c r="F11" s="21">
        <f>IF($A11="","",ROUND(N($D11)-N($E11),2))</f>
        <v/>
      </c>
      <c r="G11" s="9">
        <f>IF($A11="","",IF(N($D11)-N($E11)&lt;=0.5,"Pagado",IF(N($E11)&gt;0.5,"Parcial","Pendiente")))</f>
        <v/>
      </c>
      <c r="H11" s="5" t="n"/>
      <c r="I11" s="10">
        <f>IF($A11="","",IF(COUNTIF(PEDIDOS!$A$4:$A$200,$A11)=0,"Ese ID_Pedido no existe en la hoja PEDIDOS",IF(N($D11)&lt;=0,"Falta el monto",IF(N($E11)&gt;N($D11)+0.5,"Pagado mayor que el monto",""))))</f>
        <v/>
      </c>
      <c r="J11" s="4" t="n"/>
    </row>
    <row r="12">
      <c r="A12" s="4" t="inlineStr">
        <is>
          <t>7-4</t>
        </is>
      </c>
      <c r="B12" s="4" t="inlineStr">
        <is>
          <t>Restar</t>
        </is>
      </c>
      <c r="C12" s="4" t="inlineStr"/>
      <c r="D12" s="20" t="n">
        <v>980</v>
      </c>
      <c r="E12" s="20" t="n">
        <v>980</v>
      </c>
      <c r="F12" s="21">
        <f>IF($A12="","",ROUND(N($D12)-N($E12),2))</f>
        <v/>
      </c>
      <c r="G12" s="9">
        <f>IF($A12="","",IF(N($D12)-N($E12)&lt;=0.5,"Pagado",IF(N($E12)&gt;0.5,"Parcial","Pendiente")))</f>
        <v/>
      </c>
      <c r="H12" s="5" t="n"/>
      <c r="I12" s="10">
        <f>IF($A12="","",IF(COUNTIF(PEDIDOS!$A$4:$A$200,$A12)=0,"Ese ID_Pedido no existe en la hoja PEDIDOS",IF(N($D12)&lt;=0,"Falta el monto",IF(N($E12)&gt;N($D12)+0.5,"Pagado mayor que el monto",""))))</f>
        <v/>
      </c>
      <c r="J12" s="4" t="n"/>
    </row>
    <row r="13">
      <c r="A13" s="4" t="inlineStr">
        <is>
          <t>7-5</t>
        </is>
      </c>
      <c r="B13" s="4" t="inlineStr">
        <is>
          <t>Jingwei</t>
        </is>
      </c>
      <c r="C13" s="4" t="inlineStr"/>
      <c r="D13" s="20" t="n">
        <v>5500</v>
      </c>
      <c r="E13" s="20" t="n">
        <v>5500</v>
      </c>
      <c r="F13" s="21">
        <f>IF($A13="","",ROUND(N($D13)-N($E13),2))</f>
        <v/>
      </c>
      <c r="G13" s="9">
        <f>IF($A13="","",IF(N($D13)-N($E13)&lt;=0.5,"Pagado",IF(N($E13)&gt;0.5,"Parcial","Pendiente")))</f>
        <v/>
      </c>
      <c r="H13" s="5" t="n"/>
      <c r="I13" s="10">
        <f>IF($A13="","",IF(COUNTIF(PEDIDOS!$A$4:$A$200,$A13)=0,"Ese ID_Pedido no existe en la hoja PEDIDOS",IF(N($D13)&lt;=0,"Falta el monto",IF(N($E13)&gt;N($D13)+0.5,"Pagado mayor que el monto",""))))</f>
        <v/>
      </c>
      <c r="J13" s="4" t="n"/>
    </row>
    <row r="14">
      <c r="A14" s="4" t="inlineStr">
        <is>
          <t>7-5</t>
        </is>
      </c>
      <c r="B14" s="4" t="inlineStr">
        <is>
          <t>Wenzhong</t>
        </is>
      </c>
      <c r="C14" s="4" t="inlineStr"/>
      <c r="D14" s="20" t="n">
        <v>3202.8</v>
      </c>
      <c r="E14" s="20" t="n">
        <v>3202.8</v>
      </c>
      <c r="F14" s="21">
        <f>IF($A14="","",ROUND(N($D14)-N($E14),2))</f>
        <v/>
      </c>
      <c r="G14" s="9">
        <f>IF($A14="","",IF(N($D14)-N($E14)&lt;=0.5,"Pagado",IF(N($E14)&gt;0.5,"Parcial","Pendiente")))</f>
        <v/>
      </c>
      <c r="H14" s="5" t="n"/>
      <c r="I14" s="10">
        <f>IF($A14="","",IF(COUNTIF(PEDIDOS!$A$4:$A$200,$A14)=0,"Ese ID_Pedido no existe en la hoja PEDIDOS",IF(N($D14)&lt;=0,"Falta el monto",IF(N($E14)&gt;N($D14)+0.5,"Pagado mayor que el monto",""))))</f>
        <v/>
      </c>
      <c r="J14" s="4" t="n"/>
    </row>
    <row r="15">
      <c r="A15" s="4" t="inlineStr">
        <is>
          <t>7-5</t>
        </is>
      </c>
      <c r="B15" s="4" t="inlineStr">
        <is>
          <t>Restar</t>
        </is>
      </c>
      <c r="C15" s="4" t="inlineStr"/>
      <c r="D15" s="20" t="n">
        <v>490</v>
      </c>
      <c r="E15" s="20" t="n">
        <v>147</v>
      </c>
      <c r="F15" s="21">
        <f>IF($A15="","",ROUND(N($D15)-N($E15),2))</f>
        <v/>
      </c>
      <c r="G15" s="9">
        <f>IF($A15="","",IF(N($D15)-N($E15)&lt;=0.5,"Pagado",IF(N($E15)&gt;0.5,"Parcial","Pendiente")))</f>
        <v/>
      </c>
      <c r="H15" s="5" t="n">
        <v>46101</v>
      </c>
      <c r="I15" s="10">
        <f>IF($A15="","",IF(COUNTIF(PEDIDOS!$A$4:$A$200,$A15)=0,"Ese ID_Pedido no existe en la hoja PEDIDOS",IF(N($D15)&lt;=0,"Falta el monto",IF(N($E15)&gt;N($D15)+0.5,"Pagado mayor que el monto",""))))</f>
        <v/>
      </c>
      <c r="J15" s="4" t="n"/>
    </row>
    <row r="16">
      <c r="A16" s="4" t="inlineStr">
        <is>
          <t>7-6</t>
        </is>
      </c>
      <c r="B16" s="4" t="inlineStr">
        <is>
          <t>Jingwei</t>
        </is>
      </c>
      <c r="C16" s="4" t="inlineStr"/>
      <c r="D16" s="20" t="n">
        <v>5500</v>
      </c>
      <c r="E16" s="20" t="n">
        <v>550</v>
      </c>
      <c r="F16" s="21">
        <f>IF($A16="","",ROUND(N($D16)-N($E16),2))</f>
        <v/>
      </c>
      <c r="G16" s="9">
        <f>IF($A16="","",IF(N($D16)-N($E16)&lt;=0.5,"Pagado",IF(N($E16)&gt;0.5,"Parcial","Pendiente")))</f>
        <v/>
      </c>
      <c r="H16" s="5" t="n"/>
      <c r="I16" s="10">
        <f>IF($A16="","",IF(COUNTIF(PEDIDOS!$A$4:$A$200,$A16)=0,"Ese ID_Pedido no existe en la hoja PEDIDOS",IF(N($D16)&lt;=0,"Falta el monto",IF(N($E16)&gt;N($D16)+0.5,"Pagado mayor que el monto",""))))</f>
        <v/>
      </c>
      <c r="J16" s="4" t="n"/>
    </row>
    <row r="17">
      <c r="A17" s="4" t="inlineStr">
        <is>
          <t>7-6</t>
        </is>
      </c>
      <c r="B17" s="4" t="inlineStr">
        <is>
          <t>Wenzhong</t>
        </is>
      </c>
      <c r="C17" s="4" t="inlineStr"/>
      <c r="D17" s="20" t="n">
        <v>3202.8</v>
      </c>
      <c r="E17" s="20" t="n">
        <v>320.28</v>
      </c>
      <c r="F17" s="21">
        <f>IF($A17="","",ROUND(N($D17)-N($E17),2))</f>
        <v/>
      </c>
      <c r="G17" s="9">
        <f>IF($A17="","",IF(N($D17)-N($E17)&lt;=0.5,"Pagado",IF(N($E17)&gt;0.5,"Parcial","Pendiente")))</f>
        <v/>
      </c>
      <c r="H17" s="5" t="n">
        <v>46101</v>
      </c>
      <c r="I17" s="10">
        <f>IF($A17="","",IF(COUNTIF(PEDIDOS!$A$4:$A$200,$A17)=0,"Ese ID_Pedido no existe en la hoja PEDIDOS",IF(N($D17)&lt;=0,"Falta el monto",IF(N($E17)&gt;N($D17)+0.5,"Pagado mayor que el monto",""))))</f>
        <v/>
      </c>
      <c r="J17" s="4" t="n"/>
    </row>
    <row r="18">
      <c r="A18" s="4" t="inlineStr">
        <is>
          <t>7-6</t>
        </is>
      </c>
      <c r="B18" s="4" t="inlineStr">
        <is>
          <t>Restar</t>
        </is>
      </c>
      <c r="C18" s="4" t="inlineStr"/>
      <c r="D18" s="20" t="n">
        <v>490</v>
      </c>
      <c r="E18" s="20" t="n">
        <v>147</v>
      </c>
      <c r="F18" s="21">
        <f>IF($A18="","",ROUND(N($D18)-N($E18),2))</f>
        <v/>
      </c>
      <c r="G18" s="9">
        <f>IF($A18="","",IF(N($D18)-N($E18)&lt;=0.5,"Pagado",IF(N($E18)&gt;0.5,"Parcial","Pendiente")))</f>
        <v/>
      </c>
      <c r="H18" s="5" t="n">
        <v>46101</v>
      </c>
      <c r="I18" s="10">
        <f>IF($A18="","",IF(COUNTIF(PEDIDOS!$A$4:$A$200,$A18)=0,"Ese ID_Pedido no existe en la hoja PEDIDOS",IF(N($D18)&lt;=0,"Falta el monto",IF(N($E18)&gt;N($D18)+0.5,"Pagado mayor que el monto",""))))</f>
        <v/>
      </c>
      <c r="J18" s="4" t="n"/>
    </row>
    <row r="19">
      <c r="A19" s="4" t="inlineStr">
        <is>
          <t>7-7</t>
        </is>
      </c>
      <c r="B19" s="4" t="inlineStr">
        <is>
          <t>Jingwei</t>
        </is>
      </c>
      <c r="C19" s="4" t="inlineStr"/>
      <c r="D19" s="20" t="n">
        <v>5500</v>
      </c>
      <c r="E19" s="20" t="n">
        <v>550</v>
      </c>
      <c r="F19" s="21">
        <f>IF($A19="","",ROUND(N($D19)-N($E19),2))</f>
        <v/>
      </c>
      <c r="G19" s="9">
        <f>IF($A19="","",IF(N($D19)-N($E19)&lt;=0.5,"Pagado",IF(N($E19)&gt;0.5,"Parcial","Pendiente")))</f>
        <v/>
      </c>
      <c r="H19" s="5" t="n"/>
      <c r="I19" s="10">
        <f>IF($A19="","",IF(COUNTIF(PEDIDOS!$A$4:$A$200,$A19)=0,"Ese ID_Pedido no existe en la hoja PEDIDOS",IF(N($D19)&lt;=0,"Falta el monto",IF(N($E19)&gt;N($D19)+0.5,"Pagado mayor que el monto",""))))</f>
        <v/>
      </c>
      <c r="J19" s="4" t="n"/>
    </row>
    <row r="20">
      <c r="A20" s="4" t="inlineStr">
        <is>
          <t>7-7</t>
        </is>
      </c>
      <c r="B20" s="4" t="inlineStr">
        <is>
          <t>Wenzhong</t>
        </is>
      </c>
      <c r="C20" s="4" t="inlineStr"/>
      <c r="D20" s="20" t="n">
        <v>3202.8</v>
      </c>
      <c r="E20" s="20" t="n">
        <v>320.28</v>
      </c>
      <c r="F20" s="21">
        <f>IF($A20="","",ROUND(N($D20)-N($E20),2))</f>
        <v/>
      </c>
      <c r="G20" s="9">
        <f>IF($A20="","",IF(N($D20)-N($E20)&lt;=0.5,"Pagado",IF(N($E20)&gt;0.5,"Parcial","Pendiente")))</f>
        <v/>
      </c>
      <c r="H20" s="5" t="n">
        <v>46101</v>
      </c>
      <c r="I20" s="10">
        <f>IF($A20="","",IF(COUNTIF(PEDIDOS!$A$4:$A$200,$A20)=0,"Ese ID_Pedido no existe en la hoja PEDIDOS",IF(N($D20)&lt;=0,"Falta el monto",IF(N($E20)&gt;N($D20)+0.5,"Pagado mayor que el monto",""))))</f>
        <v/>
      </c>
      <c r="J20" s="4" t="n"/>
    </row>
    <row r="21">
      <c r="A21" s="4" t="inlineStr">
        <is>
          <t>7-7</t>
        </is>
      </c>
      <c r="B21" s="4" t="inlineStr">
        <is>
          <t>Restar</t>
        </is>
      </c>
      <c r="C21" s="4" t="inlineStr"/>
      <c r="D21" s="20" t="n">
        <v>490</v>
      </c>
      <c r="E21" s="20" t="n">
        <v>147</v>
      </c>
      <c r="F21" s="21">
        <f>IF($A21="","",ROUND(N($D21)-N($E21),2))</f>
        <v/>
      </c>
      <c r="G21" s="9">
        <f>IF($A21="","",IF(N($D21)-N($E21)&lt;=0.5,"Pagado",IF(N($E21)&gt;0.5,"Parcial","Pendiente")))</f>
        <v/>
      </c>
      <c r="H21" s="5" t="n">
        <v>46101</v>
      </c>
      <c r="I21" s="10">
        <f>IF($A21="","",IF(COUNTIF(PEDIDOS!$A$4:$A$200,$A21)=0,"Ese ID_Pedido no existe en la hoja PEDIDOS",IF(N($D21)&lt;=0,"Falta el monto",IF(N($E21)&gt;N($D21)+0.5,"Pagado mayor que el monto",""))))</f>
        <v/>
      </c>
      <c r="J21" s="4" t="n"/>
    </row>
    <row r="22">
      <c r="A22" s="4" t="inlineStr">
        <is>
          <t>7-8</t>
        </is>
      </c>
      <c r="B22" s="4" t="inlineStr">
        <is>
          <t>Jingwei</t>
        </is>
      </c>
      <c r="C22" s="4" t="inlineStr"/>
      <c r="D22" s="20" t="n">
        <v>5500</v>
      </c>
      <c r="E22" s="20" t="n">
        <v>550</v>
      </c>
      <c r="F22" s="21">
        <f>IF($A22="","",ROUND(N($D22)-N($E22),2))</f>
        <v/>
      </c>
      <c r="G22" s="9">
        <f>IF($A22="","",IF(N($D22)-N($E22)&lt;=0.5,"Pagado",IF(N($E22)&gt;0.5,"Parcial","Pendiente")))</f>
        <v/>
      </c>
      <c r="H22" s="5" t="n"/>
      <c r="I22" s="10">
        <f>IF($A22="","",IF(COUNTIF(PEDIDOS!$A$4:$A$200,$A22)=0,"Ese ID_Pedido no existe en la hoja PEDIDOS",IF(N($D22)&lt;=0,"Falta el monto",IF(N($E22)&gt;N($D22)+0.5,"Pagado mayor que el monto",""))))</f>
        <v/>
      </c>
      <c r="J22" s="4" t="n"/>
    </row>
    <row r="23">
      <c r="A23" s="4" t="inlineStr">
        <is>
          <t>7-8</t>
        </is>
      </c>
      <c r="B23" s="4" t="inlineStr">
        <is>
          <t>Wenzhong</t>
        </is>
      </c>
      <c r="C23" s="4" t="inlineStr"/>
      <c r="D23" s="20" t="n">
        <v>3202.8</v>
      </c>
      <c r="E23" s="20" t="n">
        <v>320.28</v>
      </c>
      <c r="F23" s="21">
        <f>IF($A23="","",ROUND(N($D23)-N($E23),2))</f>
        <v/>
      </c>
      <c r="G23" s="9">
        <f>IF($A23="","",IF(N($D23)-N($E23)&lt;=0.5,"Pagado",IF(N($E23)&gt;0.5,"Parcial","Pendiente")))</f>
        <v/>
      </c>
      <c r="H23" s="5" t="n">
        <v>46101</v>
      </c>
      <c r="I23" s="10">
        <f>IF($A23="","",IF(COUNTIF(PEDIDOS!$A$4:$A$200,$A23)=0,"Ese ID_Pedido no existe en la hoja PEDIDOS",IF(N($D23)&lt;=0,"Falta el monto",IF(N($E23)&gt;N($D23)+0.5,"Pagado mayor que el monto",""))))</f>
        <v/>
      </c>
      <c r="J23" s="4" t="n"/>
    </row>
    <row r="24">
      <c r="A24" s="4" t="inlineStr">
        <is>
          <t>7-8</t>
        </is>
      </c>
      <c r="B24" s="4" t="inlineStr">
        <is>
          <t>Restar</t>
        </is>
      </c>
      <c r="C24" s="4" t="inlineStr"/>
      <c r="D24" s="20" t="n">
        <v>490</v>
      </c>
      <c r="E24" s="20" t="n">
        <v>147</v>
      </c>
      <c r="F24" s="21">
        <f>IF($A24="","",ROUND(N($D24)-N($E24),2))</f>
        <v/>
      </c>
      <c r="G24" s="9">
        <f>IF($A24="","",IF(N($D24)-N($E24)&lt;=0.5,"Pagado",IF(N($E24)&gt;0.5,"Parcial","Pendiente")))</f>
        <v/>
      </c>
      <c r="H24" s="5" t="n">
        <v>46101</v>
      </c>
      <c r="I24" s="10">
        <f>IF($A24="","",IF(COUNTIF(PEDIDOS!$A$4:$A$200,$A24)=0,"Ese ID_Pedido no existe en la hoja PEDIDOS",IF(N($D24)&lt;=0,"Falta el monto",IF(N($E24)&gt;N($D24)+0.5,"Pagado mayor que el monto",""))))</f>
        <v/>
      </c>
      <c r="J24" s="4" t="n"/>
    </row>
    <row r="25">
      <c r="A25" s="4" t="inlineStr">
        <is>
          <t>7-9</t>
        </is>
      </c>
      <c r="B25" s="4" t="inlineStr">
        <is>
          <t>Jingwei</t>
        </is>
      </c>
      <c r="C25" s="4" t="inlineStr"/>
      <c r="D25" s="20" t="n">
        <v>5500</v>
      </c>
      <c r="E25" s="20" t="n">
        <v>550</v>
      </c>
      <c r="F25" s="21">
        <f>IF($A25="","",ROUND(N($D25)-N($E25),2))</f>
        <v/>
      </c>
      <c r="G25" s="9">
        <f>IF($A25="","",IF(N($D25)-N($E25)&lt;=0.5,"Pagado",IF(N($E25)&gt;0.5,"Parcial","Pendiente")))</f>
        <v/>
      </c>
      <c r="H25" s="5" t="n"/>
      <c r="I25" s="10">
        <f>IF($A25="","",IF(COUNTIF(PEDIDOS!$A$4:$A$200,$A25)=0,"Ese ID_Pedido no existe en la hoja PEDIDOS",IF(N($D25)&lt;=0,"Falta el monto",IF(N($E25)&gt;N($D25)+0.5,"Pagado mayor que el monto",""))))</f>
        <v/>
      </c>
      <c r="J25" s="4" t="n"/>
    </row>
    <row r="26">
      <c r="A26" s="4" t="inlineStr">
        <is>
          <t>7-9</t>
        </is>
      </c>
      <c r="B26" s="4" t="inlineStr">
        <is>
          <t>Wenzhong</t>
        </is>
      </c>
      <c r="C26" s="4" t="inlineStr"/>
      <c r="D26" s="20" t="n">
        <v>3202.8</v>
      </c>
      <c r="E26" s="20" t="n">
        <v>320.28</v>
      </c>
      <c r="F26" s="21">
        <f>IF($A26="","",ROUND(N($D26)-N($E26),2))</f>
        <v/>
      </c>
      <c r="G26" s="9">
        <f>IF($A26="","",IF(N($D26)-N($E26)&lt;=0.5,"Pagado",IF(N($E26)&gt;0.5,"Parcial","Pendiente")))</f>
        <v/>
      </c>
      <c r="H26" s="5" t="n">
        <v>46101</v>
      </c>
      <c r="I26" s="10">
        <f>IF($A26="","",IF(COUNTIF(PEDIDOS!$A$4:$A$200,$A26)=0,"Ese ID_Pedido no existe en la hoja PEDIDOS",IF(N($D26)&lt;=0,"Falta el monto",IF(N($E26)&gt;N($D26)+0.5,"Pagado mayor que el monto",""))))</f>
        <v/>
      </c>
      <c r="J26" s="4" t="n"/>
    </row>
    <row r="27">
      <c r="A27" s="4" t="inlineStr">
        <is>
          <t>7-9</t>
        </is>
      </c>
      <c r="B27" s="4" t="inlineStr">
        <is>
          <t>Restar</t>
        </is>
      </c>
      <c r="C27" s="4" t="inlineStr"/>
      <c r="D27" s="20" t="n">
        <v>490</v>
      </c>
      <c r="E27" s="20" t="n">
        <v>147</v>
      </c>
      <c r="F27" s="21">
        <f>IF($A27="","",ROUND(N($D27)-N($E27),2))</f>
        <v/>
      </c>
      <c r="G27" s="9">
        <f>IF($A27="","",IF(N($D27)-N($E27)&lt;=0.5,"Pagado",IF(N($E27)&gt;0.5,"Parcial","Pendiente")))</f>
        <v/>
      </c>
      <c r="H27" s="5" t="n">
        <v>46101</v>
      </c>
      <c r="I27" s="10">
        <f>IF($A27="","",IF(COUNTIF(PEDIDOS!$A$4:$A$200,$A27)=0,"Ese ID_Pedido no existe en la hoja PEDIDOS",IF(N($D27)&lt;=0,"Falta el monto",IF(N($E27)&gt;N($D27)+0.5,"Pagado mayor que el monto",""))))</f>
        <v/>
      </c>
      <c r="J27" s="4" t="n"/>
    </row>
    <row r="28">
      <c r="A28" s="4" t="inlineStr">
        <is>
          <t>9-1</t>
        </is>
      </c>
      <c r="B28" s="4" t="inlineStr">
        <is>
          <t>Jingwei</t>
        </is>
      </c>
      <c r="C28" s="4" t="inlineStr"/>
      <c r="D28" s="20" t="n">
        <v>10944</v>
      </c>
      <c r="E28" s="20" t="n">
        <v>1094.4</v>
      </c>
      <c r="F28" s="21">
        <f>IF($A28="","",ROUND(N($D28)-N($E28),2))</f>
        <v/>
      </c>
      <c r="G28" s="9">
        <f>IF($A28="","",IF(N($D28)-N($E28)&lt;=0.5,"Pagado",IF(N($E28)&gt;0.5,"Parcial","Pendiente")))</f>
        <v/>
      </c>
      <c r="H28" s="5" t="n"/>
      <c r="I28" s="10">
        <f>IF($A28="","",IF(COUNTIF(PEDIDOS!$A$4:$A$200,$A28)=0,"Ese ID_Pedido no existe en la hoja PEDIDOS",IF(N($D28)&lt;=0,"Falta el monto",IF(N($E28)&gt;N($D28)+0.5,"Pagado mayor que el monto",""))))</f>
        <v/>
      </c>
      <c r="J28" s="4" t="n"/>
    </row>
    <row r="29">
      <c r="A29" s="4" t="inlineStr">
        <is>
          <t>9-1</t>
        </is>
      </c>
      <c r="B29" s="4" t="inlineStr">
        <is>
          <t>Wenzhong</t>
        </is>
      </c>
      <c r="C29" s="4" t="inlineStr"/>
      <c r="D29" s="20" t="n">
        <v>514.8</v>
      </c>
      <c r="E29" s="20" t="n">
        <v>0</v>
      </c>
      <c r="F29" s="21">
        <f>IF($A29="","",ROUND(N($D29)-N($E29),2))</f>
        <v/>
      </c>
      <c r="G29" s="9">
        <f>IF($A29="","",IF(N($D29)-N($E29)&lt;=0.5,"Pagado",IF(N($E29)&gt;0.5,"Parcial","Pendiente")))</f>
        <v/>
      </c>
      <c r="H29" s="5" t="n"/>
      <c r="I29" s="10">
        <f>IF($A29="","",IF(COUNTIF(PEDIDOS!$A$4:$A$200,$A29)=0,"Ese ID_Pedido no existe en la hoja PEDIDOS",IF(N($D29)&lt;=0,"Falta el monto",IF(N($E29)&gt;N($D29)+0.5,"Pagado mayor que el monto",""))))</f>
        <v/>
      </c>
      <c r="J29" s="4" t="n"/>
    </row>
    <row r="30">
      <c r="A30" s="4" t="inlineStr">
        <is>
          <t>9-1</t>
        </is>
      </c>
      <c r="B30" s="4" t="inlineStr">
        <is>
          <t>Restar</t>
        </is>
      </c>
      <c r="C30" s="4" t="inlineStr"/>
      <c r="D30" s="20" t="n">
        <v>130.2</v>
      </c>
      <c r="E30" s="20" t="n">
        <v>130.2</v>
      </c>
      <c r="F30" s="21">
        <f>IF($A30="","",ROUND(N($D30)-N($E30),2))</f>
        <v/>
      </c>
      <c r="G30" s="9">
        <f>IF($A30="","",IF(N($D30)-N($E30)&lt;=0.5,"Pagado",IF(N($E30)&gt;0.5,"Parcial","Pendiente")))</f>
        <v/>
      </c>
      <c r="H30" s="5" t="n"/>
      <c r="I30" s="10">
        <f>IF($A30="","",IF(COUNTIF(PEDIDOS!$A$4:$A$200,$A30)=0,"Ese ID_Pedido no existe en la hoja PEDIDOS",IF(N($D30)&lt;=0,"Falta el monto",IF(N($E30)&gt;N($D30)+0.5,"Pagado mayor que el monto",""))))</f>
        <v/>
      </c>
      <c r="J30" s="4" t="n"/>
    </row>
    <row r="31">
      <c r="A31" s="4" t="inlineStr">
        <is>
          <t>9-1</t>
        </is>
      </c>
      <c r="B31" s="4" t="inlineStr">
        <is>
          <t>Qiyuan</t>
        </is>
      </c>
      <c r="C31" s="4" t="inlineStr"/>
      <c r="D31" s="20" t="n">
        <v>235</v>
      </c>
      <c r="E31" s="20" t="n">
        <v>235</v>
      </c>
      <c r="F31" s="21">
        <f>IF($A31="","",ROUND(N($D31)-N($E31),2))</f>
        <v/>
      </c>
      <c r="G31" s="9">
        <f>IF($A31="","",IF(N($D31)-N($E31)&lt;=0.5,"Pagado",IF(N($E31)&gt;0.5,"Parcial","Pendiente")))</f>
        <v/>
      </c>
      <c r="H31" s="5" t="n"/>
      <c r="I31" s="10">
        <f>IF($A31="","",IF(COUNTIF(PEDIDOS!$A$4:$A$200,$A31)=0,"Ese ID_Pedido no existe en la hoja PEDIDOS",IF(N($D31)&lt;=0,"Falta el monto",IF(N($E31)&gt;N($D31)+0.5,"Pagado mayor que el monto",""))))</f>
        <v/>
      </c>
      <c r="J31" s="4" t="n"/>
    </row>
    <row r="32">
      <c r="A32" s="4" t="inlineStr">
        <is>
          <t>9-2</t>
        </is>
      </c>
      <c r="B32" s="4" t="inlineStr">
        <is>
          <t>Jingwei</t>
        </is>
      </c>
      <c r="C32" s="4" t="inlineStr"/>
      <c r="D32" s="20" t="n">
        <v>10780</v>
      </c>
      <c r="E32" s="20" t="n">
        <v>1078</v>
      </c>
      <c r="F32" s="21">
        <f>IF($A32="","",ROUND(N($D32)-N($E32),2))</f>
        <v/>
      </c>
      <c r="G32" s="9">
        <f>IF($A32="","",IF(N($D32)-N($E32)&lt;=0.5,"Pagado",IF(N($E32)&gt;0.5,"Parcial","Pendiente")))</f>
        <v/>
      </c>
      <c r="H32" s="5" t="n"/>
      <c r="I32" s="10">
        <f>IF($A32="","",IF(COUNTIF(PEDIDOS!$A$4:$A$200,$A32)=0,"Ese ID_Pedido no existe en la hoja PEDIDOS",IF(N($D32)&lt;=0,"Falta el monto",IF(N($E32)&gt;N($D32)+0.5,"Pagado mayor que el monto",""))))</f>
        <v/>
      </c>
      <c r="J32" s="4" t="n"/>
    </row>
    <row r="33">
      <c r="A33" s="4" t="inlineStr">
        <is>
          <t>9-2</t>
        </is>
      </c>
      <c r="B33" s="4" t="inlineStr">
        <is>
          <t>Wenzhong</t>
        </is>
      </c>
      <c r="C33" s="4" t="inlineStr"/>
      <c r="D33" s="20" t="n">
        <v>3415</v>
      </c>
      <c r="E33" s="20" t="n">
        <v>0</v>
      </c>
      <c r="F33" s="21">
        <f>IF($A33="","",ROUND(N($D33)-N($E33),2))</f>
        <v/>
      </c>
      <c r="G33" s="9">
        <f>IF($A33="","",IF(N($D33)-N($E33)&lt;=0.5,"Pagado",IF(N($E33)&gt;0.5,"Parcial","Pendiente")))</f>
        <v/>
      </c>
      <c r="H33" s="5" t="n"/>
      <c r="I33" s="10">
        <f>IF($A33="","",IF(COUNTIF(PEDIDOS!$A$4:$A$200,$A33)=0,"Ese ID_Pedido no existe en la hoja PEDIDOS",IF(N($D33)&lt;=0,"Falta el monto",IF(N($E33)&gt;N($D33)+0.5,"Pagado mayor que el monto",""))))</f>
        <v/>
      </c>
      <c r="J33" s="4" t="n"/>
    </row>
    <row r="34">
      <c r="A34" s="4" t="inlineStr">
        <is>
          <t>9-2</t>
        </is>
      </c>
      <c r="B34" s="4" t="inlineStr">
        <is>
          <t>Restar</t>
        </is>
      </c>
      <c r="C34" s="4" t="inlineStr"/>
      <c r="D34" s="20" t="n">
        <v>325.5</v>
      </c>
      <c r="E34" s="20" t="n">
        <v>325.5</v>
      </c>
      <c r="F34" s="21">
        <f>IF($A34="","",ROUND(N($D34)-N($E34),2))</f>
        <v/>
      </c>
      <c r="G34" s="9">
        <f>IF($A34="","",IF(N($D34)-N($E34)&lt;=0.5,"Pagado",IF(N($E34)&gt;0.5,"Parcial","Pendiente")))</f>
        <v/>
      </c>
      <c r="H34" s="5" t="n"/>
      <c r="I34" s="10">
        <f>IF($A34="","",IF(COUNTIF(PEDIDOS!$A$4:$A$200,$A34)=0,"Ese ID_Pedido no existe en la hoja PEDIDOS",IF(N($D34)&lt;=0,"Falta el monto",IF(N($E34)&gt;N($D34)+0.5,"Pagado mayor que el monto",""))))</f>
        <v/>
      </c>
      <c r="J34" s="4" t="n"/>
    </row>
    <row r="35">
      <c r="A35" s="4" t="inlineStr">
        <is>
          <t>9-3</t>
        </is>
      </c>
      <c r="B35" s="4" t="inlineStr">
        <is>
          <t>Jingwei</t>
        </is>
      </c>
      <c r="C35" s="4" t="inlineStr"/>
      <c r="D35" s="20" t="n">
        <v>6820</v>
      </c>
      <c r="E35" s="20" t="n">
        <v>682</v>
      </c>
      <c r="F35" s="21">
        <f>IF($A35="","",ROUND(N($D35)-N($E35),2))</f>
        <v/>
      </c>
      <c r="G35" s="9">
        <f>IF($A35="","",IF(N($D35)-N($E35)&lt;=0.5,"Pagado",IF(N($E35)&gt;0.5,"Parcial","Pendiente")))</f>
        <v/>
      </c>
      <c r="H35" s="5" t="n"/>
      <c r="I35" s="10">
        <f>IF($A35="","",IF(COUNTIF(PEDIDOS!$A$4:$A$200,$A35)=0,"Ese ID_Pedido no existe en la hoja PEDIDOS",IF(N($D35)&lt;=0,"Falta el monto",IF(N($E35)&gt;N($D35)+0.5,"Pagado mayor que el monto",""))))</f>
        <v/>
      </c>
      <c r="J35" s="4" t="n"/>
    </row>
    <row r="36">
      <c r="A36" s="4" t="inlineStr">
        <is>
          <t>9-3</t>
        </is>
      </c>
      <c r="B36" s="4" t="inlineStr">
        <is>
          <t>Wenzhong</t>
        </is>
      </c>
      <c r="C36" s="4" t="inlineStr"/>
      <c r="D36" s="20" t="n">
        <v>3073.5</v>
      </c>
      <c r="E36" s="20" t="n">
        <v>0</v>
      </c>
      <c r="F36" s="21">
        <f>IF($A36="","",ROUND(N($D36)-N($E36),2))</f>
        <v/>
      </c>
      <c r="G36" s="9">
        <f>IF($A36="","",IF(N($D36)-N($E36)&lt;=0.5,"Pagado",IF(N($E36)&gt;0.5,"Parcial","Pendiente")))</f>
        <v/>
      </c>
      <c r="H36" s="5" t="n"/>
      <c r="I36" s="10">
        <f>IF($A36="","",IF(COUNTIF(PEDIDOS!$A$4:$A$200,$A36)=0,"Ese ID_Pedido no existe en la hoja PEDIDOS",IF(N($D36)&lt;=0,"Falta el monto",IF(N($E36)&gt;N($D36)+0.5,"Pagado mayor que el monto",""))))</f>
        <v/>
      </c>
      <c r="J36" s="4" t="n"/>
    </row>
    <row r="37">
      <c r="A37" s="4" t="inlineStr">
        <is>
          <t>9-3</t>
        </is>
      </c>
      <c r="B37" s="4" t="inlineStr">
        <is>
          <t>Restar</t>
        </is>
      </c>
      <c r="C37" s="4" t="inlineStr"/>
      <c r="D37" s="20" t="n">
        <v>214.83</v>
      </c>
      <c r="E37" s="20" t="n">
        <v>214.83</v>
      </c>
      <c r="F37" s="21">
        <f>IF($A37="","",ROUND(N($D37)-N($E37),2))</f>
        <v/>
      </c>
      <c r="G37" s="9">
        <f>IF($A37="","",IF(N($D37)-N($E37)&lt;=0.5,"Pagado",IF(N($E37)&gt;0.5,"Parcial","Pendiente")))</f>
        <v/>
      </c>
      <c r="H37" s="5" t="n"/>
      <c r="I37" s="10">
        <f>IF($A37="","",IF(COUNTIF(PEDIDOS!$A$4:$A$200,$A37)=0,"Ese ID_Pedido no existe en la hoja PEDIDOS",IF(N($D37)&lt;=0,"Falta el monto",IF(N($E37)&gt;N($D37)+0.5,"Pagado mayor que el monto",""))))</f>
        <v/>
      </c>
      <c r="J37" s="4" t="n"/>
    </row>
    <row r="38">
      <c r="A38" s="4" t="inlineStr">
        <is>
          <t>9-5</t>
        </is>
      </c>
      <c r="B38" s="4" t="inlineStr">
        <is>
          <t>Jingwei</t>
        </is>
      </c>
      <c r="C38" s="4" t="inlineStr"/>
      <c r="D38" s="20" t="n">
        <v>10944</v>
      </c>
      <c r="E38" s="20" t="n">
        <v>1094.4</v>
      </c>
      <c r="F38" s="21">
        <f>IF($A38="","",ROUND(N($D38)-N($E38),2))</f>
        <v/>
      </c>
      <c r="G38" s="9">
        <f>IF($A38="","",IF(N($D38)-N($E38)&lt;=0.5,"Pagado",IF(N($E38)&gt;0.5,"Parcial","Pendiente")))</f>
        <v/>
      </c>
      <c r="H38" s="5" t="n"/>
      <c r="I38" s="10">
        <f>IF($A38="","",IF(COUNTIF(PEDIDOS!$A$4:$A$200,$A38)=0,"Ese ID_Pedido no existe en la hoja PEDIDOS",IF(N($D38)&lt;=0,"Falta el monto",IF(N($E38)&gt;N($D38)+0.5,"Pagado mayor que el monto",""))))</f>
        <v/>
      </c>
      <c r="J38" s="4" t="n"/>
    </row>
    <row r="39">
      <c r="A39" s="4" t="inlineStr">
        <is>
          <t>9-5</t>
        </is>
      </c>
      <c r="B39" s="4" t="inlineStr">
        <is>
          <t>Wenzhong</t>
        </is>
      </c>
      <c r="C39" s="4" t="inlineStr"/>
      <c r="D39" s="20" t="n">
        <v>514.8</v>
      </c>
      <c r="E39" s="20" t="n">
        <v>0</v>
      </c>
      <c r="F39" s="21">
        <f>IF($A39="","",ROUND(N($D39)-N($E39),2))</f>
        <v/>
      </c>
      <c r="G39" s="9">
        <f>IF($A39="","",IF(N($D39)-N($E39)&lt;=0.5,"Pagado",IF(N($E39)&gt;0.5,"Parcial","Pendiente")))</f>
        <v/>
      </c>
      <c r="H39" s="5" t="n"/>
      <c r="I39" s="10">
        <f>IF($A39="","",IF(COUNTIF(PEDIDOS!$A$4:$A$200,$A39)=0,"Ese ID_Pedido no existe en la hoja PEDIDOS",IF(N($D39)&lt;=0,"Falta el monto",IF(N($E39)&gt;N($D39)+0.5,"Pagado mayor que el monto",""))))</f>
        <v/>
      </c>
      <c r="J39" s="4" t="n"/>
    </row>
    <row r="40">
      <c r="A40" s="4" t="inlineStr">
        <is>
          <t>9-5</t>
        </is>
      </c>
      <c r="B40" s="4" t="inlineStr">
        <is>
          <t>Restar</t>
        </is>
      </c>
      <c r="C40" s="4" t="inlineStr"/>
      <c r="D40" s="20" t="n">
        <v>130.2</v>
      </c>
      <c r="E40" s="20" t="n">
        <v>130.2</v>
      </c>
      <c r="F40" s="21">
        <f>IF($A40="","",ROUND(N($D40)-N($E40),2))</f>
        <v/>
      </c>
      <c r="G40" s="9">
        <f>IF($A40="","",IF(N($D40)-N($E40)&lt;=0.5,"Pagado",IF(N($E40)&gt;0.5,"Parcial","Pendiente")))</f>
        <v/>
      </c>
      <c r="H40" s="5" t="n"/>
      <c r="I40" s="10">
        <f>IF($A40="","",IF(COUNTIF(PEDIDOS!$A$4:$A$200,$A40)=0,"Ese ID_Pedido no existe en la hoja PEDIDOS",IF(N($D40)&lt;=0,"Falta el monto",IF(N($E40)&gt;N($D40)+0.5,"Pagado mayor que el monto",""))))</f>
        <v/>
      </c>
      <c r="J40" s="4" t="n"/>
    </row>
    <row r="41">
      <c r="A41" s="4" t="inlineStr">
        <is>
          <t>9-5</t>
        </is>
      </c>
      <c r="B41" s="4" t="inlineStr">
        <is>
          <t>Qiyuan</t>
        </is>
      </c>
      <c r="C41" s="4" t="inlineStr"/>
      <c r="D41" s="20" t="n">
        <v>235</v>
      </c>
      <c r="E41" s="20" t="n">
        <v>235</v>
      </c>
      <c r="F41" s="21">
        <f>IF($A41="","",ROUND(N($D41)-N($E41),2))</f>
        <v/>
      </c>
      <c r="G41" s="9">
        <f>IF($A41="","",IF(N($D41)-N($E41)&lt;=0.5,"Pagado",IF(N($E41)&gt;0.5,"Parcial","Pendiente")))</f>
        <v/>
      </c>
      <c r="H41" s="5" t="n"/>
      <c r="I41" s="10">
        <f>IF($A41="","",IF(COUNTIF(PEDIDOS!$A$4:$A$200,$A41)=0,"Ese ID_Pedido no existe en la hoja PEDIDOS",IF(N($D41)&lt;=0,"Falta el monto",IF(N($E41)&gt;N($D41)+0.5,"Pagado mayor que el monto",""))))</f>
        <v/>
      </c>
      <c r="J41" s="4" t="n"/>
    </row>
    <row r="42">
      <c r="A42" s="4" t="inlineStr">
        <is>
          <t>9-6</t>
        </is>
      </c>
      <c r="B42" s="4" t="inlineStr">
        <is>
          <t>Jingwei</t>
        </is>
      </c>
      <c r="C42" s="4" t="inlineStr"/>
      <c r="D42" s="20" t="n">
        <v>11424</v>
      </c>
      <c r="E42" s="20" t="n">
        <v>1142.4</v>
      </c>
      <c r="F42" s="21">
        <f>IF($A42="","",ROUND(N($D42)-N($E42),2))</f>
        <v/>
      </c>
      <c r="G42" s="9">
        <f>IF($A42="","",IF(N($D42)-N($E42)&lt;=0.5,"Pagado",IF(N($E42)&gt;0.5,"Parcial","Pendiente")))</f>
        <v/>
      </c>
      <c r="H42" s="5" t="n"/>
      <c r="I42" s="10">
        <f>IF($A42="","",IF(COUNTIF(PEDIDOS!$A$4:$A$200,$A42)=0,"Ese ID_Pedido no existe en la hoja PEDIDOS",IF(N($D42)&lt;=0,"Falta el monto",IF(N($E42)&gt;N($D42)+0.5,"Pagado mayor que el monto",""))))</f>
        <v/>
      </c>
      <c r="J42" s="4" t="n"/>
    </row>
    <row r="43">
      <c r="A43" s="4" t="inlineStr">
        <is>
          <t>9-6</t>
        </is>
      </c>
      <c r="B43" s="4" t="inlineStr">
        <is>
          <t>Wenzhong</t>
        </is>
      </c>
      <c r="C43" s="4" t="inlineStr"/>
      <c r="D43" s="20" t="n">
        <v>514.8</v>
      </c>
      <c r="E43" s="20" t="n">
        <v>0</v>
      </c>
      <c r="F43" s="21">
        <f>IF($A43="","",ROUND(N($D43)-N($E43),2))</f>
        <v/>
      </c>
      <c r="G43" s="9">
        <f>IF($A43="","",IF(N($D43)-N($E43)&lt;=0.5,"Pagado",IF(N($E43)&gt;0.5,"Parcial","Pendiente")))</f>
        <v/>
      </c>
      <c r="H43" s="5" t="n"/>
      <c r="I43" s="10">
        <f>IF($A43="","",IF(COUNTIF(PEDIDOS!$A$4:$A$200,$A43)=0,"Ese ID_Pedido no existe en la hoja PEDIDOS",IF(N($D43)&lt;=0,"Falta el monto",IF(N($E43)&gt;N($D43)+0.5,"Pagado mayor que el monto",""))))</f>
        <v/>
      </c>
      <c r="J43" s="4" t="n"/>
    </row>
    <row r="44">
      <c r="A44" s="4" t="inlineStr">
        <is>
          <t>9-6</t>
        </is>
      </c>
      <c r="B44" s="4" t="inlineStr">
        <is>
          <t>Restar</t>
        </is>
      </c>
      <c r="C44" s="4" t="inlineStr"/>
      <c r="D44" s="20" t="n">
        <v>149.73</v>
      </c>
      <c r="E44" s="20" t="n">
        <v>149.73</v>
      </c>
      <c r="F44" s="21">
        <f>IF($A44="","",ROUND(N($D44)-N($E44),2))</f>
        <v/>
      </c>
      <c r="G44" s="9">
        <f>IF($A44="","",IF(N($D44)-N($E44)&lt;=0.5,"Pagado",IF(N($E44)&gt;0.5,"Parcial","Pendiente")))</f>
        <v/>
      </c>
      <c r="H44" s="5" t="n"/>
      <c r="I44" s="10">
        <f>IF($A44="","",IF(COUNTIF(PEDIDOS!$A$4:$A$200,$A44)=0,"Ese ID_Pedido no existe en la hoja PEDIDOS",IF(N($D44)&lt;=0,"Falta el monto",IF(N($E44)&gt;N($D44)+0.5,"Pagado mayor que el monto",""))))</f>
        <v/>
      </c>
      <c r="J44" s="4" t="n"/>
    </row>
    <row r="45">
      <c r="A45" s="4" t="inlineStr">
        <is>
          <t>9-6</t>
        </is>
      </c>
      <c r="B45" s="4" t="inlineStr">
        <is>
          <t>Qiyuan</t>
        </is>
      </c>
      <c r="C45" s="4" t="inlineStr"/>
      <c r="D45" s="20" t="n">
        <v>235</v>
      </c>
      <c r="E45" s="20" t="n">
        <v>235</v>
      </c>
      <c r="F45" s="21">
        <f>IF($A45="","",ROUND(N($D45)-N($E45),2))</f>
        <v/>
      </c>
      <c r="G45" s="9">
        <f>IF($A45="","",IF(N($D45)-N($E45)&lt;=0.5,"Pagado",IF(N($E45)&gt;0.5,"Parcial","Pendiente")))</f>
        <v/>
      </c>
      <c r="H45" s="5" t="n"/>
      <c r="I45" s="10">
        <f>IF($A45="","",IF(COUNTIF(PEDIDOS!$A$4:$A$200,$A45)=0,"Ese ID_Pedido no existe en la hoja PEDIDOS",IF(N($D45)&lt;=0,"Falta el monto",IF(N($E45)&gt;N($D45)+0.5,"Pagado mayor que el monto",""))))</f>
        <v/>
      </c>
      <c r="J45" s="4" t="n"/>
    </row>
    <row r="46">
      <c r="A46" s="4" t="inlineStr">
        <is>
          <t>10</t>
        </is>
      </c>
      <c r="B46" s="4" t="inlineStr">
        <is>
          <t>Jingwei</t>
        </is>
      </c>
      <c r="C46" s="4" t="inlineStr"/>
      <c r="D46" s="20" t="n">
        <v>11000</v>
      </c>
      <c r="E46" s="20" t="n">
        <v>1100</v>
      </c>
      <c r="F46" s="21">
        <f>IF($A46="","",ROUND(N($D46)-N($E46),2))</f>
        <v/>
      </c>
      <c r="G46" s="9">
        <f>IF($A46="","",IF(N($D46)-N($E46)&lt;=0.5,"Pagado",IF(N($E46)&gt;0.5,"Parcial","Pendiente")))</f>
        <v/>
      </c>
      <c r="H46" s="5" t="n"/>
      <c r="I46" s="10">
        <f>IF($A46="","",IF(COUNTIF(PEDIDOS!$A$4:$A$200,$A46)=0,"Ese ID_Pedido no existe en la hoja PEDIDOS",IF(N($D46)&lt;=0,"Falta el monto",IF(N($E46)&gt;N($D46)+0.5,"Pagado mayor que el monto",""))))</f>
        <v/>
      </c>
      <c r="J46" s="4" t="n"/>
    </row>
    <row r="47">
      <c r="A47" s="4" t="inlineStr">
        <is>
          <t>10</t>
        </is>
      </c>
      <c r="B47" s="4" t="inlineStr">
        <is>
          <t>Wenzhong</t>
        </is>
      </c>
      <c r="C47" s="4" t="inlineStr"/>
      <c r="D47" s="20" t="n">
        <v>6526.8</v>
      </c>
      <c r="E47" s="20" t="n">
        <v>6526.8</v>
      </c>
      <c r="F47" s="21">
        <f>IF($A47="","",ROUND(N($D47)-N($E47),2))</f>
        <v/>
      </c>
      <c r="G47" s="9">
        <f>IF($A47="","",IF(N($D47)-N($E47)&lt;=0.5,"Pagado",IF(N($E47)&gt;0.5,"Parcial","Pendiente")))</f>
        <v/>
      </c>
      <c r="H47" s="5" t="n"/>
      <c r="I47" s="10">
        <f>IF($A47="","",IF(COUNTIF(PEDIDOS!$A$4:$A$200,$A47)=0,"Ese ID_Pedido no existe en la hoja PEDIDOS",IF(N($D47)&lt;=0,"Falta el monto",IF(N($E47)&gt;N($D47)+0.5,"Pagado mayor que el monto",""))))</f>
        <v/>
      </c>
      <c r="J47" s="4" t="n"/>
    </row>
    <row r="48">
      <c r="A48" s="4" t="inlineStr">
        <is>
          <t>10</t>
        </is>
      </c>
      <c r="B48" s="4" t="inlineStr">
        <is>
          <t>Restar</t>
        </is>
      </c>
      <c r="C48" s="4" t="inlineStr"/>
      <c r="D48" s="20" t="n">
        <v>1035.72</v>
      </c>
      <c r="E48" s="20" t="n">
        <v>1035.72</v>
      </c>
      <c r="F48" s="21">
        <f>IF($A48="","",ROUND(N($D48)-N($E48),2))</f>
        <v/>
      </c>
      <c r="G48" s="9">
        <f>IF($A48="","",IF(N($D48)-N($E48)&lt;=0.5,"Pagado",IF(N($E48)&gt;0.5,"Parcial","Pendiente")))</f>
        <v/>
      </c>
      <c r="H48" s="5" t="n"/>
      <c r="I48" s="10">
        <f>IF($A48="","",IF(COUNTIF(PEDIDOS!$A$4:$A$200,$A48)=0,"Ese ID_Pedido no existe en la hoja PEDIDOS",IF(N($D48)&lt;=0,"Falta el monto",IF(N($E48)&gt;N($D48)+0.5,"Pagado mayor que el monto",""))))</f>
        <v/>
      </c>
      <c r="J48" s="4" t="n"/>
    </row>
    <row r="49">
      <c r="A49" s="4" t="inlineStr">
        <is>
          <t>11-1</t>
        </is>
      </c>
      <c r="B49" s="4" t="inlineStr">
        <is>
          <t>Jingwei</t>
        </is>
      </c>
      <c r="C49" s="4" t="inlineStr"/>
      <c r="D49" s="20" t="n">
        <v>16500</v>
      </c>
      <c r="E49" s="20" t="n">
        <v>1650</v>
      </c>
      <c r="F49" s="21">
        <f>IF($A49="","",ROUND(N($D49)-N($E49),2))</f>
        <v/>
      </c>
      <c r="G49" s="9">
        <f>IF($A49="","",IF(N($D49)-N($E49)&lt;=0.5,"Pagado",IF(N($E49)&gt;0.5,"Parcial","Pendiente")))</f>
        <v/>
      </c>
      <c r="H49" s="5" t="n"/>
      <c r="I49" s="10">
        <f>IF($A49="","",IF(COUNTIF(PEDIDOS!$A$4:$A$200,$A49)=0,"Ese ID_Pedido no existe en la hoja PEDIDOS",IF(N($D49)&lt;=0,"Falta el monto",IF(N($E49)&gt;N($D49)+0.5,"Pagado mayor que el monto",""))))</f>
        <v/>
      </c>
      <c r="J49" s="4" t="n"/>
    </row>
    <row r="50">
      <c r="A50" s="4" t="inlineStr">
        <is>
          <t>11-1</t>
        </is>
      </c>
      <c r="B50" s="4" t="inlineStr">
        <is>
          <t>Wenzhong</t>
        </is>
      </c>
      <c r="C50" s="4" t="inlineStr"/>
      <c r="D50" s="20" t="n">
        <v>9790.200000000001</v>
      </c>
      <c r="E50" s="20" t="n">
        <v>0</v>
      </c>
      <c r="F50" s="21">
        <f>IF($A50="","",ROUND(N($D50)-N($E50),2))</f>
        <v/>
      </c>
      <c r="G50" s="9">
        <f>IF($A50="","",IF(N($D50)-N($E50)&lt;=0.5,"Pagado",IF(N($E50)&gt;0.5,"Parcial","Pendiente")))</f>
        <v/>
      </c>
      <c r="H50" s="5" t="n"/>
      <c r="I50" s="10">
        <f>IF($A50="","",IF(COUNTIF(PEDIDOS!$A$4:$A$200,$A50)=0,"Ese ID_Pedido no existe en la hoja PEDIDOS",IF(N($D50)&lt;=0,"Falta el monto",IF(N($E50)&gt;N($D50)+0.5,"Pagado mayor que el monto",""))))</f>
        <v/>
      </c>
      <c r="J50" s="4" t="n"/>
    </row>
    <row r="51">
      <c r="A51" s="4" t="inlineStr">
        <is>
          <t>11-3</t>
        </is>
      </c>
      <c r="B51" s="4" t="inlineStr">
        <is>
          <t>Jingwei</t>
        </is>
      </c>
      <c r="C51" s="4" t="inlineStr"/>
      <c r="D51" s="20" t="n">
        <v>6820</v>
      </c>
      <c r="E51" s="20" t="n">
        <v>0</v>
      </c>
      <c r="F51" s="21">
        <f>IF($A51="","",ROUND(N($D51)-N($E51),2))</f>
        <v/>
      </c>
      <c r="G51" s="9">
        <f>IF($A51="","",IF(N($D51)-N($E51)&lt;=0.5,"Pagado",IF(N($E51)&gt;0.5,"Parcial","Pendiente")))</f>
        <v/>
      </c>
      <c r="H51" s="5" t="n">
        <v>46237</v>
      </c>
      <c r="I51" s="10">
        <f>IF($A51="","",IF(COUNTIF(PEDIDOS!$A$4:$A$200,$A51)=0,"Ese ID_Pedido no existe en la hoja PEDIDOS",IF(N($D51)&lt;=0,"Falta el monto",IF(N($E51)&gt;N($D51)+0.5,"Pagado mayor que el monto",""))))</f>
        <v/>
      </c>
      <c r="J51" s="4" t="n"/>
    </row>
    <row r="52">
      <c r="A52" s="4" t="inlineStr">
        <is>
          <t>11-3</t>
        </is>
      </c>
      <c r="B52" s="4" t="inlineStr">
        <is>
          <t>Wenzhong</t>
        </is>
      </c>
      <c r="C52" s="4" t="inlineStr"/>
      <c r="D52" s="20" t="n">
        <v>3073.5</v>
      </c>
      <c r="E52" s="20" t="n">
        <v>0</v>
      </c>
      <c r="F52" s="21">
        <f>IF($A52="","",ROUND(N($D52)-N($E52),2))</f>
        <v/>
      </c>
      <c r="G52" s="9">
        <f>IF($A52="","",IF(N($D52)-N($E52)&lt;=0.5,"Pagado",IF(N($E52)&gt;0.5,"Parcial","Pendiente")))</f>
        <v/>
      </c>
      <c r="H52" s="5" t="n"/>
      <c r="I52" s="10">
        <f>IF($A52="","",IF(COUNTIF(PEDIDOS!$A$4:$A$200,$A52)=0,"Ese ID_Pedido no existe en la hoja PEDIDOS",IF(N($D52)&lt;=0,"Falta el monto",IF(N($E52)&gt;N($D52)+0.5,"Pagado mayor que el monto",""))))</f>
        <v/>
      </c>
      <c r="J52" s="4" t="n"/>
    </row>
    <row r="53">
      <c r="A53" s="4" t="inlineStr">
        <is>
          <t>11-4</t>
        </is>
      </c>
      <c r="B53" s="4" t="inlineStr">
        <is>
          <t>Jingwei</t>
        </is>
      </c>
      <c r="C53" s="4" t="inlineStr"/>
      <c r="D53" s="20" t="n">
        <v>10944</v>
      </c>
      <c r="E53" s="20" t="n">
        <v>1094.4</v>
      </c>
      <c r="F53" s="21">
        <f>IF($A53="","",ROUND(N($D53)-N($E53),2))</f>
        <v/>
      </c>
      <c r="G53" s="9">
        <f>IF($A53="","",IF(N($D53)-N($E53)&lt;=0.5,"Pagado",IF(N($E53)&gt;0.5,"Parcial","Pendiente")))</f>
        <v/>
      </c>
      <c r="H53" s="5" t="n"/>
      <c r="I53" s="10">
        <f>IF($A53="","",IF(COUNTIF(PEDIDOS!$A$4:$A$200,$A53)=0,"Ese ID_Pedido no existe en la hoja PEDIDOS",IF(N($D53)&lt;=0,"Falta el monto",IF(N($E53)&gt;N($D53)+0.5,"Pagado mayor que el monto",""))))</f>
        <v/>
      </c>
      <c r="J53" s="4" t="n"/>
    </row>
    <row r="54">
      <c r="A54" s="4" t="inlineStr">
        <is>
          <t>11-4</t>
        </is>
      </c>
      <c r="B54" s="4" t="inlineStr">
        <is>
          <t>Wenzhong</t>
        </is>
      </c>
      <c r="C54" s="4" t="inlineStr"/>
      <c r="D54" s="20" t="n">
        <v>514.8</v>
      </c>
      <c r="E54" s="20" t="n">
        <v>0</v>
      </c>
      <c r="F54" s="21">
        <f>IF($A54="","",ROUND(N($D54)-N($E54),2))</f>
        <v/>
      </c>
      <c r="G54" s="9">
        <f>IF($A54="","",IF(N($D54)-N($E54)&lt;=0.5,"Pagado",IF(N($E54)&gt;0.5,"Parcial","Pendiente")))</f>
        <v/>
      </c>
      <c r="H54" s="5" t="n"/>
      <c r="I54" s="10">
        <f>IF($A54="","",IF(COUNTIF(PEDIDOS!$A$4:$A$200,$A54)=0,"Ese ID_Pedido no existe en la hoja PEDIDOS",IF(N($D54)&lt;=0,"Falta el monto",IF(N($E54)&gt;N($D54)+0.5,"Pagado mayor que el monto",""))))</f>
        <v/>
      </c>
      <c r="J54" s="4" t="n"/>
    </row>
    <row r="55">
      <c r="A55" s="4" t="inlineStr">
        <is>
          <t>11-4</t>
        </is>
      </c>
      <c r="B55" s="4" t="inlineStr">
        <is>
          <t>Qiyuan</t>
        </is>
      </c>
      <c r="C55" s="4" t="inlineStr"/>
      <c r="D55" s="20" t="n">
        <v>295.5</v>
      </c>
      <c r="E55" s="20" t="n">
        <v>295.5</v>
      </c>
      <c r="F55" s="21">
        <f>IF($A55="","",ROUND(N($D55)-N($E55),2))</f>
        <v/>
      </c>
      <c r="G55" s="9">
        <f>IF($A55="","",IF(N($D55)-N($E55)&lt;=0.5,"Pagado",IF(N($E55)&gt;0.5,"Parcial","Pendiente")))</f>
        <v/>
      </c>
      <c r="H55" s="5" t="n"/>
      <c r="I55" s="10">
        <f>IF($A55="","",IF(COUNTIF(PEDIDOS!$A$4:$A$200,$A55)=0,"Ese ID_Pedido no existe en la hoja PEDIDOS",IF(N($D55)&lt;=0,"Falta el monto",IF(N($E55)&gt;N($D55)+0.5,"Pagado mayor que el monto",""))))</f>
        <v/>
      </c>
      <c r="J55" s="4" t="n"/>
    </row>
    <row r="56">
      <c r="A56" s="4" t="n"/>
      <c r="B56" s="4" t="n"/>
      <c r="C56" s="4" t="n"/>
      <c r="D56" s="20" t="n"/>
      <c r="E56" s="20" t="n"/>
      <c r="F56" s="21">
        <f>IF($A56="","",ROUND(N($D56)-N($E56),2))</f>
        <v/>
      </c>
      <c r="G56" s="9">
        <f>IF($A56="","",IF(N($D56)-N($E56)&lt;=0.5,"Pagado",IF(N($E56)&gt;0.5,"Parcial","Pendiente")))</f>
        <v/>
      </c>
      <c r="H56" s="5" t="n"/>
      <c r="I56" s="10">
        <f>IF($A56="","",IF(COUNTIF(PEDIDOS!$A$4:$A$200,$A56)=0,"Ese ID_Pedido no existe en la hoja PEDIDOS",IF(N($D56)&lt;=0,"Falta el monto",IF(N($E56)&gt;N($D56)+0.5,"Pagado mayor que el monto",""))))</f>
        <v/>
      </c>
      <c r="J56" s="4" t="n"/>
    </row>
    <row r="57">
      <c r="A57" s="4" t="n"/>
      <c r="B57" s="4" t="n"/>
      <c r="C57" s="4" t="n"/>
      <c r="D57" s="20" t="n"/>
      <c r="E57" s="20" t="n"/>
      <c r="F57" s="21">
        <f>IF($A57="","",ROUND(N($D57)-N($E57),2))</f>
        <v/>
      </c>
      <c r="G57" s="9">
        <f>IF($A57="","",IF(N($D57)-N($E57)&lt;=0.5,"Pagado",IF(N($E57)&gt;0.5,"Parcial","Pendiente")))</f>
        <v/>
      </c>
      <c r="H57" s="5" t="n"/>
      <c r="I57" s="10">
        <f>IF($A57="","",IF(COUNTIF(PEDIDOS!$A$4:$A$200,$A57)=0,"Ese ID_Pedido no existe en la hoja PEDIDOS",IF(N($D57)&lt;=0,"Falta el monto",IF(N($E57)&gt;N($D57)+0.5,"Pagado mayor que el monto",""))))</f>
        <v/>
      </c>
      <c r="J57" s="4" t="n"/>
    </row>
    <row r="58">
      <c r="A58" s="4" t="n"/>
      <c r="B58" s="4" t="n"/>
      <c r="C58" s="4" t="n"/>
      <c r="D58" s="20" t="n"/>
      <c r="E58" s="20" t="n"/>
      <c r="F58" s="21">
        <f>IF($A58="","",ROUND(N($D58)-N($E58),2))</f>
        <v/>
      </c>
      <c r="G58" s="9">
        <f>IF($A58="","",IF(N($D58)-N($E58)&lt;=0.5,"Pagado",IF(N($E58)&gt;0.5,"Parcial","Pendiente")))</f>
        <v/>
      </c>
      <c r="H58" s="5" t="n"/>
      <c r="I58" s="10">
        <f>IF($A58="","",IF(COUNTIF(PEDIDOS!$A$4:$A$200,$A58)=0,"Ese ID_Pedido no existe en la hoja PEDIDOS",IF(N($D58)&lt;=0,"Falta el monto",IF(N($E58)&gt;N($D58)+0.5,"Pagado mayor que el monto",""))))</f>
        <v/>
      </c>
      <c r="J58" s="4" t="n"/>
    </row>
    <row r="59">
      <c r="A59" s="4" t="n"/>
      <c r="B59" s="4" t="n"/>
      <c r="C59" s="4" t="n"/>
      <c r="D59" s="20" t="n"/>
      <c r="E59" s="20" t="n"/>
      <c r="F59" s="21">
        <f>IF($A59="","",ROUND(N($D59)-N($E59),2))</f>
        <v/>
      </c>
      <c r="G59" s="9">
        <f>IF($A59="","",IF(N($D59)-N($E59)&lt;=0.5,"Pagado",IF(N($E59)&gt;0.5,"Parcial","Pendiente")))</f>
        <v/>
      </c>
      <c r="H59" s="5" t="n"/>
      <c r="I59" s="10">
        <f>IF($A59="","",IF(COUNTIF(PEDIDOS!$A$4:$A$200,$A59)=0,"Ese ID_Pedido no existe en la hoja PEDIDOS",IF(N($D59)&lt;=0,"Falta el monto",IF(N($E59)&gt;N($D59)+0.5,"Pagado mayor que el monto",""))))</f>
        <v/>
      </c>
      <c r="J59" s="4" t="n"/>
    </row>
    <row r="60">
      <c r="A60" s="4" t="n"/>
      <c r="B60" s="4" t="n"/>
      <c r="C60" s="4" t="n"/>
      <c r="D60" s="20" t="n"/>
      <c r="E60" s="20" t="n"/>
      <c r="F60" s="21">
        <f>IF($A60="","",ROUND(N($D60)-N($E60),2))</f>
        <v/>
      </c>
      <c r="G60" s="9">
        <f>IF($A60="","",IF(N($D60)-N($E60)&lt;=0.5,"Pagado",IF(N($E60)&gt;0.5,"Parcial","Pendiente")))</f>
        <v/>
      </c>
      <c r="H60" s="5" t="n"/>
      <c r="I60" s="10">
        <f>IF($A60="","",IF(COUNTIF(PEDIDOS!$A$4:$A$200,$A60)=0,"Ese ID_Pedido no existe en la hoja PEDIDOS",IF(N($D60)&lt;=0,"Falta el monto",IF(N($E60)&gt;N($D60)+0.5,"Pagado mayor que el monto",""))))</f>
        <v/>
      </c>
      <c r="J60" s="4" t="n"/>
    </row>
    <row r="61">
      <c r="A61" s="4" t="n"/>
      <c r="B61" s="4" t="n"/>
      <c r="C61" s="4" t="n"/>
      <c r="D61" s="20" t="n"/>
      <c r="E61" s="20" t="n"/>
      <c r="F61" s="21">
        <f>IF($A61="","",ROUND(N($D61)-N($E61),2))</f>
        <v/>
      </c>
      <c r="G61" s="9">
        <f>IF($A61="","",IF(N($D61)-N($E61)&lt;=0.5,"Pagado",IF(N($E61)&gt;0.5,"Parcial","Pendiente")))</f>
        <v/>
      </c>
      <c r="H61" s="5" t="n"/>
      <c r="I61" s="10">
        <f>IF($A61="","",IF(COUNTIF(PEDIDOS!$A$4:$A$200,$A61)=0,"Ese ID_Pedido no existe en la hoja PEDIDOS",IF(N($D61)&lt;=0,"Falta el monto",IF(N($E61)&gt;N($D61)+0.5,"Pagado mayor que el monto",""))))</f>
        <v/>
      </c>
      <c r="J61" s="4" t="n"/>
    </row>
    <row r="62">
      <c r="A62" s="4" t="n"/>
      <c r="B62" s="4" t="n"/>
      <c r="C62" s="4" t="n"/>
      <c r="D62" s="20" t="n"/>
      <c r="E62" s="20" t="n"/>
      <c r="F62" s="21">
        <f>IF($A62="","",ROUND(N($D62)-N($E62),2))</f>
        <v/>
      </c>
      <c r="G62" s="9">
        <f>IF($A62="","",IF(N($D62)-N($E62)&lt;=0.5,"Pagado",IF(N($E62)&gt;0.5,"Parcial","Pendiente")))</f>
        <v/>
      </c>
      <c r="H62" s="5" t="n"/>
      <c r="I62" s="10">
        <f>IF($A62="","",IF(COUNTIF(PEDIDOS!$A$4:$A$200,$A62)=0,"Ese ID_Pedido no existe en la hoja PEDIDOS",IF(N($D62)&lt;=0,"Falta el monto",IF(N($E62)&gt;N($D62)+0.5,"Pagado mayor que el monto",""))))</f>
        <v/>
      </c>
      <c r="J62" s="4" t="n"/>
    </row>
    <row r="63">
      <c r="A63" s="4" t="n"/>
      <c r="B63" s="4" t="n"/>
      <c r="C63" s="4" t="n"/>
      <c r="D63" s="20" t="n"/>
      <c r="E63" s="20" t="n"/>
      <c r="F63" s="21">
        <f>IF($A63="","",ROUND(N($D63)-N($E63),2))</f>
        <v/>
      </c>
      <c r="G63" s="9">
        <f>IF($A63="","",IF(N($D63)-N($E63)&lt;=0.5,"Pagado",IF(N($E63)&gt;0.5,"Parcial","Pendiente")))</f>
        <v/>
      </c>
      <c r="H63" s="5" t="n"/>
      <c r="I63" s="10">
        <f>IF($A63="","",IF(COUNTIF(PEDIDOS!$A$4:$A$200,$A63)=0,"Ese ID_Pedido no existe en la hoja PEDIDOS",IF(N($D63)&lt;=0,"Falta el monto",IF(N($E63)&gt;N($D63)+0.5,"Pagado mayor que el monto",""))))</f>
        <v/>
      </c>
      <c r="J63" s="4" t="n"/>
    </row>
    <row r="64">
      <c r="A64" s="4" t="n"/>
      <c r="B64" s="4" t="n"/>
      <c r="C64" s="4" t="n"/>
      <c r="D64" s="20" t="n"/>
      <c r="E64" s="20" t="n"/>
      <c r="F64" s="21">
        <f>IF($A64="","",ROUND(N($D64)-N($E64),2))</f>
        <v/>
      </c>
      <c r="G64" s="9">
        <f>IF($A64="","",IF(N($D64)-N($E64)&lt;=0.5,"Pagado",IF(N($E64)&gt;0.5,"Parcial","Pendiente")))</f>
        <v/>
      </c>
      <c r="H64" s="5" t="n"/>
      <c r="I64" s="10">
        <f>IF($A64="","",IF(COUNTIF(PEDIDOS!$A$4:$A$200,$A64)=0,"Ese ID_Pedido no existe en la hoja PEDIDOS",IF(N($D64)&lt;=0,"Falta el monto",IF(N($E64)&gt;N($D64)+0.5,"Pagado mayor que el monto",""))))</f>
        <v/>
      </c>
      <c r="J64" s="4" t="n"/>
    </row>
    <row r="65">
      <c r="A65" s="4" t="n"/>
      <c r="B65" s="4" t="n"/>
      <c r="C65" s="4" t="n"/>
      <c r="D65" s="20" t="n"/>
      <c r="E65" s="20" t="n"/>
      <c r="F65" s="21">
        <f>IF($A65="","",ROUND(N($D65)-N($E65),2))</f>
        <v/>
      </c>
      <c r="G65" s="9">
        <f>IF($A65="","",IF(N($D65)-N($E65)&lt;=0.5,"Pagado",IF(N($E65)&gt;0.5,"Parcial","Pendiente")))</f>
        <v/>
      </c>
      <c r="H65" s="5" t="n"/>
      <c r="I65" s="10">
        <f>IF($A65="","",IF(COUNTIF(PEDIDOS!$A$4:$A$200,$A65)=0,"Ese ID_Pedido no existe en la hoja PEDIDOS",IF(N($D65)&lt;=0,"Falta el monto",IF(N($E65)&gt;N($D65)+0.5,"Pagado mayor que el monto",""))))</f>
        <v/>
      </c>
      <c r="J65" s="4" t="n"/>
    </row>
    <row r="66">
      <c r="A66" s="4" t="n"/>
      <c r="B66" s="4" t="n"/>
      <c r="C66" s="4" t="n"/>
      <c r="D66" s="20" t="n"/>
      <c r="E66" s="20" t="n"/>
      <c r="F66" s="21">
        <f>IF($A66="","",ROUND(N($D66)-N($E66),2))</f>
        <v/>
      </c>
      <c r="G66" s="9">
        <f>IF($A66="","",IF(N($D66)-N($E66)&lt;=0.5,"Pagado",IF(N($E66)&gt;0.5,"Parcial","Pendiente")))</f>
        <v/>
      </c>
      <c r="H66" s="5" t="n"/>
      <c r="I66" s="10">
        <f>IF($A66="","",IF(COUNTIF(PEDIDOS!$A$4:$A$200,$A66)=0,"Ese ID_Pedido no existe en la hoja PEDIDOS",IF(N($D66)&lt;=0,"Falta el monto",IF(N($E66)&gt;N($D66)+0.5,"Pagado mayor que el monto",""))))</f>
        <v/>
      </c>
      <c r="J66" s="4" t="n"/>
    </row>
    <row r="67">
      <c r="A67" s="4" t="n"/>
      <c r="B67" s="4" t="n"/>
      <c r="C67" s="4" t="n"/>
      <c r="D67" s="20" t="n"/>
      <c r="E67" s="20" t="n"/>
      <c r="F67" s="21">
        <f>IF($A67="","",ROUND(N($D67)-N($E67),2))</f>
        <v/>
      </c>
      <c r="G67" s="9">
        <f>IF($A67="","",IF(N($D67)-N($E67)&lt;=0.5,"Pagado",IF(N($E67)&gt;0.5,"Parcial","Pendiente")))</f>
        <v/>
      </c>
      <c r="H67" s="5" t="n"/>
      <c r="I67" s="10">
        <f>IF($A67="","",IF(COUNTIF(PEDIDOS!$A$4:$A$200,$A67)=0,"Ese ID_Pedido no existe en la hoja PEDIDOS",IF(N($D67)&lt;=0,"Falta el monto",IF(N($E67)&gt;N($D67)+0.5,"Pagado mayor que el monto",""))))</f>
        <v/>
      </c>
      <c r="J67" s="4" t="n"/>
    </row>
    <row r="68">
      <c r="A68" s="4" t="n"/>
      <c r="B68" s="4" t="n"/>
      <c r="C68" s="4" t="n"/>
      <c r="D68" s="20" t="n"/>
      <c r="E68" s="20" t="n"/>
      <c r="F68" s="21">
        <f>IF($A68="","",ROUND(N($D68)-N($E68),2))</f>
        <v/>
      </c>
      <c r="G68" s="9">
        <f>IF($A68="","",IF(N($D68)-N($E68)&lt;=0.5,"Pagado",IF(N($E68)&gt;0.5,"Parcial","Pendiente")))</f>
        <v/>
      </c>
      <c r="H68" s="5" t="n"/>
      <c r="I68" s="10">
        <f>IF($A68="","",IF(COUNTIF(PEDIDOS!$A$4:$A$200,$A68)=0,"Ese ID_Pedido no existe en la hoja PEDIDOS",IF(N($D68)&lt;=0,"Falta el monto",IF(N($E68)&gt;N($D68)+0.5,"Pagado mayor que el monto",""))))</f>
        <v/>
      </c>
      <c r="J68" s="4" t="n"/>
    </row>
    <row r="69">
      <c r="A69" s="4" t="n"/>
      <c r="B69" s="4" t="n"/>
      <c r="C69" s="4" t="n"/>
      <c r="D69" s="20" t="n"/>
      <c r="E69" s="20" t="n"/>
      <c r="F69" s="21">
        <f>IF($A69="","",ROUND(N($D69)-N($E69),2))</f>
        <v/>
      </c>
      <c r="G69" s="9">
        <f>IF($A69="","",IF(N($D69)-N($E69)&lt;=0.5,"Pagado",IF(N($E69)&gt;0.5,"Parcial","Pendiente")))</f>
        <v/>
      </c>
      <c r="H69" s="5" t="n"/>
      <c r="I69" s="10">
        <f>IF($A69="","",IF(COUNTIF(PEDIDOS!$A$4:$A$200,$A69)=0,"Ese ID_Pedido no existe en la hoja PEDIDOS",IF(N($D69)&lt;=0,"Falta el monto",IF(N($E69)&gt;N($D69)+0.5,"Pagado mayor que el monto",""))))</f>
        <v/>
      </c>
      <c r="J69" s="4" t="n"/>
    </row>
    <row r="70">
      <c r="A70" s="4" t="n"/>
      <c r="B70" s="4" t="n"/>
      <c r="C70" s="4" t="n"/>
      <c r="D70" s="20" t="n"/>
      <c r="E70" s="20" t="n"/>
      <c r="F70" s="21">
        <f>IF($A70="","",ROUND(N($D70)-N($E70),2))</f>
        <v/>
      </c>
      <c r="G70" s="9">
        <f>IF($A70="","",IF(N($D70)-N($E70)&lt;=0.5,"Pagado",IF(N($E70)&gt;0.5,"Parcial","Pendiente")))</f>
        <v/>
      </c>
      <c r="H70" s="5" t="n"/>
      <c r="I70" s="10">
        <f>IF($A70="","",IF(COUNTIF(PEDIDOS!$A$4:$A$200,$A70)=0,"Ese ID_Pedido no existe en la hoja PEDIDOS",IF(N($D70)&lt;=0,"Falta el monto",IF(N($E70)&gt;N($D70)+0.5,"Pagado mayor que el monto",""))))</f>
        <v/>
      </c>
      <c r="J70" s="4" t="n"/>
    </row>
    <row r="71">
      <c r="A71" s="4" t="n"/>
      <c r="B71" s="4" t="n"/>
      <c r="C71" s="4" t="n"/>
      <c r="D71" s="20" t="n"/>
      <c r="E71" s="20" t="n"/>
      <c r="F71" s="21">
        <f>IF($A71="","",ROUND(N($D71)-N($E71),2))</f>
        <v/>
      </c>
      <c r="G71" s="9">
        <f>IF($A71="","",IF(N($D71)-N($E71)&lt;=0.5,"Pagado",IF(N($E71)&gt;0.5,"Parcial","Pendiente")))</f>
        <v/>
      </c>
      <c r="H71" s="5" t="n"/>
      <c r="I71" s="10">
        <f>IF($A71="","",IF(COUNTIF(PEDIDOS!$A$4:$A$200,$A71)=0,"Ese ID_Pedido no existe en la hoja PEDIDOS",IF(N($D71)&lt;=0,"Falta el monto",IF(N($E71)&gt;N($D71)+0.5,"Pagado mayor que el monto",""))))</f>
        <v/>
      </c>
      <c r="J71" s="4" t="n"/>
    </row>
    <row r="72">
      <c r="A72" s="4" t="n"/>
      <c r="B72" s="4" t="n"/>
      <c r="C72" s="4" t="n"/>
      <c r="D72" s="20" t="n"/>
      <c r="E72" s="20" t="n"/>
      <c r="F72" s="21">
        <f>IF($A72="","",ROUND(N($D72)-N($E72),2))</f>
        <v/>
      </c>
      <c r="G72" s="9">
        <f>IF($A72="","",IF(N($D72)-N($E72)&lt;=0.5,"Pagado",IF(N($E72)&gt;0.5,"Parcial","Pendiente")))</f>
        <v/>
      </c>
      <c r="H72" s="5" t="n"/>
      <c r="I72" s="10">
        <f>IF($A72="","",IF(COUNTIF(PEDIDOS!$A$4:$A$200,$A72)=0,"Ese ID_Pedido no existe en la hoja PEDIDOS",IF(N($D72)&lt;=0,"Falta el monto",IF(N($E72)&gt;N($D72)+0.5,"Pagado mayor que el monto",""))))</f>
        <v/>
      </c>
      <c r="J72" s="4" t="n"/>
    </row>
    <row r="73">
      <c r="A73" s="4" t="n"/>
      <c r="B73" s="4" t="n"/>
      <c r="C73" s="4" t="n"/>
      <c r="D73" s="20" t="n"/>
      <c r="E73" s="20" t="n"/>
      <c r="F73" s="21">
        <f>IF($A73="","",ROUND(N($D73)-N($E73),2))</f>
        <v/>
      </c>
      <c r="G73" s="9">
        <f>IF($A73="","",IF(N($D73)-N($E73)&lt;=0.5,"Pagado",IF(N($E73)&gt;0.5,"Parcial","Pendiente")))</f>
        <v/>
      </c>
      <c r="H73" s="5" t="n"/>
      <c r="I73" s="10">
        <f>IF($A73="","",IF(COUNTIF(PEDIDOS!$A$4:$A$200,$A73)=0,"Ese ID_Pedido no existe en la hoja PEDIDOS",IF(N($D73)&lt;=0,"Falta el monto",IF(N($E73)&gt;N($D73)+0.5,"Pagado mayor que el monto",""))))</f>
        <v/>
      </c>
      <c r="J73" s="4" t="n"/>
    </row>
    <row r="74">
      <c r="A74" s="4" t="n"/>
      <c r="B74" s="4" t="n"/>
      <c r="C74" s="4" t="n"/>
      <c r="D74" s="20" t="n"/>
      <c r="E74" s="20" t="n"/>
      <c r="F74" s="21">
        <f>IF($A74="","",ROUND(N($D74)-N($E74),2))</f>
        <v/>
      </c>
      <c r="G74" s="9">
        <f>IF($A74="","",IF(N($D74)-N($E74)&lt;=0.5,"Pagado",IF(N($E74)&gt;0.5,"Parcial","Pendiente")))</f>
        <v/>
      </c>
      <c r="H74" s="5" t="n"/>
      <c r="I74" s="10">
        <f>IF($A74="","",IF(COUNTIF(PEDIDOS!$A$4:$A$200,$A74)=0,"Ese ID_Pedido no existe en la hoja PEDIDOS",IF(N($D74)&lt;=0,"Falta el monto",IF(N($E74)&gt;N($D74)+0.5,"Pagado mayor que el monto",""))))</f>
        <v/>
      </c>
      <c r="J74" s="4" t="n"/>
    </row>
    <row r="75">
      <c r="A75" s="4" t="n"/>
      <c r="B75" s="4" t="n"/>
      <c r="C75" s="4" t="n"/>
      <c r="D75" s="20" t="n"/>
      <c r="E75" s="20" t="n"/>
      <c r="F75" s="21">
        <f>IF($A75="","",ROUND(N($D75)-N($E75),2))</f>
        <v/>
      </c>
      <c r="G75" s="9">
        <f>IF($A75="","",IF(N($D75)-N($E75)&lt;=0.5,"Pagado",IF(N($E75)&gt;0.5,"Parcial","Pendiente")))</f>
        <v/>
      </c>
      <c r="H75" s="5" t="n"/>
      <c r="I75" s="10">
        <f>IF($A75="","",IF(COUNTIF(PEDIDOS!$A$4:$A$200,$A75)=0,"Ese ID_Pedido no existe en la hoja PEDIDOS",IF(N($D75)&lt;=0,"Falta el monto",IF(N($E75)&gt;N($D75)+0.5,"Pagado mayor que el monto",""))))</f>
        <v/>
      </c>
      <c r="J75" s="4" t="n"/>
    </row>
    <row r="76">
      <c r="A76" s="4" t="n"/>
      <c r="B76" s="4" t="n"/>
      <c r="C76" s="4" t="n"/>
      <c r="D76" s="20" t="n"/>
      <c r="E76" s="20" t="n"/>
      <c r="F76" s="21">
        <f>IF($A76="","",ROUND(N($D76)-N($E76),2))</f>
        <v/>
      </c>
      <c r="G76" s="9">
        <f>IF($A76="","",IF(N($D76)-N($E76)&lt;=0.5,"Pagado",IF(N($E76)&gt;0.5,"Parcial","Pendiente")))</f>
        <v/>
      </c>
      <c r="H76" s="5" t="n"/>
      <c r="I76" s="10">
        <f>IF($A76="","",IF(COUNTIF(PEDIDOS!$A$4:$A$200,$A76)=0,"Ese ID_Pedido no existe en la hoja PEDIDOS",IF(N($D76)&lt;=0,"Falta el monto",IF(N($E76)&gt;N($D76)+0.5,"Pagado mayor que el monto",""))))</f>
        <v/>
      </c>
      <c r="J76" s="4" t="n"/>
    </row>
    <row r="77">
      <c r="A77" s="4" t="n"/>
      <c r="B77" s="4" t="n"/>
      <c r="C77" s="4" t="n"/>
      <c r="D77" s="20" t="n"/>
      <c r="E77" s="20" t="n"/>
      <c r="F77" s="21">
        <f>IF($A77="","",ROUND(N($D77)-N($E77),2))</f>
        <v/>
      </c>
      <c r="G77" s="9">
        <f>IF($A77="","",IF(N($D77)-N($E77)&lt;=0.5,"Pagado",IF(N($E77)&gt;0.5,"Parcial","Pendiente")))</f>
        <v/>
      </c>
      <c r="H77" s="5" t="n"/>
      <c r="I77" s="10">
        <f>IF($A77="","",IF(COUNTIF(PEDIDOS!$A$4:$A$200,$A77)=0,"Ese ID_Pedido no existe en la hoja PEDIDOS",IF(N($D77)&lt;=0,"Falta el monto",IF(N($E77)&gt;N($D77)+0.5,"Pagado mayor que el monto",""))))</f>
        <v/>
      </c>
      <c r="J77" s="4" t="n"/>
    </row>
    <row r="78">
      <c r="A78" s="4" t="n"/>
      <c r="B78" s="4" t="n"/>
      <c r="C78" s="4" t="n"/>
      <c r="D78" s="20" t="n"/>
      <c r="E78" s="20" t="n"/>
      <c r="F78" s="21">
        <f>IF($A78="","",ROUND(N($D78)-N($E78),2))</f>
        <v/>
      </c>
      <c r="G78" s="9">
        <f>IF($A78="","",IF(N($D78)-N($E78)&lt;=0.5,"Pagado",IF(N($E78)&gt;0.5,"Parcial","Pendiente")))</f>
        <v/>
      </c>
      <c r="H78" s="5" t="n"/>
      <c r="I78" s="10">
        <f>IF($A78="","",IF(COUNTIF(PEDIDOS!$A$4:$A$200,$A78)=0,"Ese ID_Pedido no existe en la hoja PEDIDOS",IF(N($D78)&lt;=0,"Falta el monto",IF(N($E78)&gt;N($D78)+0.5,"Pagado mayor que el monto",""))))</f>
        <v/>
      </c>
      <c r="J78" s="4" t="n"/>
    </row>
    <row r="79">
      <c r="A79" s="4" t="n"/>
      <c r="B79" s="4" t="n"/>
      <c r="C79" s="4" t="n"/>
      <c r="D79" s="20" t="n"/>
      <c r="E79" s="20" t="n"/>
      <c r="F79" s="21">
        <f>IF($A79="","",ROUND(N($D79)-N($E79),2))</f>
        <v/>
      </c>
      <c r="G79" s="9">
        <f>IF($A79="","",IF(N($D79)-N($E79)&lt;=0.5,"Pagado",IF(N($E79)&gt;0.5,"Parcial","Pendiente")))</f>
        <v/>
      </c>
      <c r="H79" s="5" t="n"/>
      <c r="I79" s="10">
        <f>IF($A79="","",IF(COUNTIF(PEDIDOS!$A$4:$A$200,$A79)=0,"Ese ID_Pedido no existe en la hoja PEDIDOS",IF(N($D79)&lt;=0,"Falta el monto",IF(N($E79)&gt;N($D79)+0.5,"Pagado mayor que el monto",""))))</f>
        <v/>
      </c>
      <c r="J79" s="4" t="n"/>
    </row>
    <row r="80">
      <c r="A80" s="4" t="n"/>
      <c r="B80" s="4" t="n"/>
      <c r="C80" s="4" t="n"/>
      <c r="D80" s="20" t="n"/>
      <c r="E80" s="20" t="n"/>
      <c r="F80" s="21">
        <f>IF($A80="","",ROUND(N($D80)-N($E80),2))</f>
        <v/>
      </c>
      <c r="G80" s="9">
        <f>IF($A80="","",IF(N($D80)-N($E80)&lt;=0.5,"Pagado",IF(N($E80)&gt;0.5,"Parcial","Pendiente")))</f>
        <v/>
      </c>
      <c r="H80" s="5" t="n"/>
      <c r="I80" s="10">
        <f>IF($A80="","",IF(COUNTIF(PEDIDOS!$A$4:$A$200,$A80)=0,"Ese ID_Pedido no existe en la hoja PEDIDOS",IF(N($D80)&lt;=0,"Falta el monto",IF(N($E80)&gt;N($D80)+0.5,"Pagado mayor que el monto",""))))</f>
        <v/>
      </c>
      <c r="J80" s="4" t="n"/>
    </row>
    <row r="81">
      <c r="A81" s="4" t="n"/>
      <c r="B81" s="4" t="n"/>
      <c r="C81" s="4" t="n"/>
      <c r="D81" s="20" t="n"/>
      <c r="E81" s="20" t="n"/>
      <c r="F81" s="21">
        <f>IF($A81="","",ROUND(N($D81)-N($E81),2))</f>
        <v/>
      </c>
      <c r="G81" s="9">
        <f>IF($A81="","",IF(N($D81)-N($E81)&lt;=0.5,"Pagado",IF(N($E81)&gt;0.5,"Parcial","Pendiente")))</f>
        <v/>
      </c>
      <c r="H81" s="5" t="n"/>
      <c r="I81" s="10">
        <f>IF($A81="","",IF(COUNTIF(PEDIDOS!$A$4:$A$200,$A81)=0,"Ese ID_Pedido no existe en la hoja PEDIDOS",IF(N($D81)&lt;=0,"Falta el monto",IF(N($E81)&gt;N($D81)+0.5,"Pagado mayor que el monto",""))))</f>
        <v/>
      </c>
      <c r="J81" s="4" t="n"/>
    </row>
    <row r="82">
      <c r="A82" s="4" t="n"/>
      <c r="B82" s="4" t="n"/>
      <c r="C82" s="4" t="n"/>
      <c r="D82" s="20" t="n"/>
      <c r="E82" s="20" t="n"/>
      <c r="F82" s="21">
        <f>IF($A82="","",ROUND(N($D82)-N($E82),2))</f>
        <v/>
      </c>
      <c r="G82" s="9">
        <f>IF($A82="","",IF(N($D82)-N($E82)&lt;=0.5,"Pagado",IF(N($E82)&gt;0.5,"Parcial","Pendiente")))</f>
        <v/>
      </c>
      <c r="H82" s="5" t="n"/>
      <c r="I82" s="10">
        <f>IF($A82="","",IF(COUNTIF(PEDIDOS!$A$4:$A$200,$A82)=0,"Ese ID_Pedido no existe en la hoja PEDIDOS",IF(N($D82)&lt;=0,"Falta el monto",IF(N($E82)&gt;N($D82)+0.5,"Pagado mayor que el monto",""))))</f>
        <v/>
      </c>
      <c r="J82" s="4" t="n"/>
    </row>
    <row r="83">
      <c r="A83" s="4" t="n"/>
      <c r="B83" s="4" t="n"/>
      <c r="C83" s="4" t="n"/>
      <c r="D83" s="20" t="n"/>
      <c r="E83" s="20" t="n"/>
      <c r="F83" s="21">
        <f>IF($A83="","",ROUND(N($D83)-N($E83),2))</f>
        <v/>
      </c>
      <c r="G83" s="9">
        <f>IF($A83="","",IF(N($D83)-N($E83)&lt;=0.5,"Pagado",IF(N($E83)&gt;0.5,"Parcial","Pendiente")))</f>
        <v/>
      </c>
      <c r="H83" s="5" t="n"/>
      <c r="I83" s="10">
        <f>IF($A83="","",IF(COUNTIF(PEDIDOS!$A$4:$A$200,$A83)=0,"Ese ID_Pedido no existe en la hoja PEDIDOS",IF(N($D83)&lt;=0,"Falta el monto",IF(N($E83)&gt;N($D83)+0.5,"Pagado mayor que el monto",""))))</f>
        <v/>
      </c>
      <c r="J83" s="4" t="n"/>
    </row>
    <row r="84">
      <c r="A84" s="4" t="n"/>
      <c r="B84" s="4" t="n"/>
      <c r="C84" s="4" t="n"/>
      <c r="D84" s="20" t="n"/>
      <c r="E84" s="20" t="n"/>
      <c r="F84" s="21">
        <f>IF($A84="","",ROUND(N($D84)-N($E84),2))</f>
        <v/>
      </c>
      <c r="G84" s="9">
        <f>IF($A84="","",IF(N($D84)-N($E84)&lt;=0.5,"Pagado",IF(N($E84)&gt;0.5,"Parcial","Pendiente")))</f>
        <v/>
      </c>
      <c r="H84" s="5" t="n"/>
      <c r="I84" s="10">
        <f>IF($A84="","",IF(COUNTIF(PEDIDOS!$A$4:$A$200,$A84)=0,"Ese ID_Pedido no existe en la hoja PEDIDOS",IF(N($D84)&lt;=0,"Falta el monto",IF(N($E84)&gt;N($D84)+0.5,"Pagado mayor que el monto",""))))</f>
        <v/>
      </c>
      <c r="J84" s="4" t="n"/>
    </row>
    <row r="85">
      <c r="A85" s="4" t="n"/>
      <c r="B85" s="4" t="n"/>
      <c r="C85" s="4" t="n"/>
      <c r="D85" s="20" t="n"/>
      <c r="E85" s="20" t="n"/>
      <c r="F85" s="21">
        <f>IF($A85="","",ROUND(N($D85)-N($E85),2))</f>
        <v/>
      </c>
      <c r="G85" s="9">
        <f>IF($A85="","",IF(N($D85)-N($E85)&lt;=0.5,"Pagado",IF(N($E85)&gt;0.5,"Parcial","Pendiente")))</f>
        <v/>
      </c>
      <c r="H85" s="5" t="n"/>
      <c r="I85" s="10">
        <f>IF($A85="","",IF(COUNTIF(PEDIDOS!$A$4:$A$200,$A85)=0,"Ese ID_Pedido no existe en la hoja PEDIDOS",IF(N($D85)&lt;=0,"Falta el monto",IF(N($E85)&gt;N($D85)+0.5,"Pagado mayor que el monto",""))))</f>
        <v/>
      </c>
      <c r="J85" s="4" t="n"/>
    </row>
    <row r="86">
      <c r="A86" s="4" t="n"/>
      <c r="B86" s="4" t="n"/>
      <c r="C86" s="4" t="n"/>
      <c r="D86" s="20" t="n"/>
      <c r="E86" s="20" t="n"/>
      <c r="F86" s="21">
        <f>IF($A86="","",ROUND(N($D86)-N($E86),2))</f>
        <v/>
      </c>
      <c r="G86" s="9">
        <f>IF($A86="","",IF(N($D86)-N($E86)&lt;=0.5,"Pagado",IF(N($E86)&gt;0.5,"Parcial","Pendiente")))</f>
        <v/>
      </c>
      <c r="H86" s="5" t="n"/>
      <c r="I86" s="10">
        <f>IF($A86="","",IF(COUNTIF(PEDIDOS!$A$4:$A$200,$A86)=0,"Ese ID_Pedido no existe en la hoja PEDIDOS",IF(N($D86)&lt;=0,"Falta el monto",IF(N($E86)&gt;N($D86)+0.5,"Pagado mayor que el monto",""))))</f>
        <v/>
      </c>
      <c r="J86" s="4" t="n"/>
    </row>
    <row r="87">
      <c r="A87" s="4" t="n"/>
      <c r="B87" s="4" t="n"/>
      <c r="C87" s="4" t="n"/>
      <c r="D87" s="20" t="n"/>
      <c r="E87" s="20" t="n"/>
      <c r="F87" s="21">
        <f>IF($A87="","",ROUND(N($D87)-N($E87),2))</f>
        <v/>
      </c>
      <c r="G87" s="9">
        <f>IF($A87="","",IF(N($D87)-N($E87)&lt;=0.5,"Pagado",IF(N($E87)&gt;0.5,"Parcial","Pendiente")))</f>
        <v/>
      </c>
      <c r="H87" s="5" t="n"/>
      <c r="I87" s="10">
        <f>IF($A87="","",IF(COUNTIF(PEDIDOS!$A$4:$A$200,$A87)=0,"Ese ID_Pedido no existe en la hoja PEDIDOS",IF(N($D87)&lt;=0,"Falta el monto",IF(N($E87)&gt;N($D87)+0.5,"Pagado mayor que el monto",""))))</f>
        <v/>
      </c>
      <c r="J87" s="4" t="n"/>
    </row>
    <row r="88">
      <c r="A88" s="4" t="n"/>
      <c r="B88" s="4" t="n"/>
      <c r="C88" s="4" t="n"/>
      <c r="D88" s="20" t="n"/>
      <c r="E88" s="20" t="n"/>
      <c r="F88" s="21">
        <f>IF($A88="","",ROUND(N($D88)-N($E88),2))</f>
        <v/>
      </c>
      <c r="G88" s="9">
        <f>IF($A88="","",IF(N($D88)-N($E88)&lt;=0.5,"Pagado",IF(N($E88)&gt;0.5,"Parcial","Pendiente")))</f>
        <v/>
      </c>
      <c r="H88" s="5" t="n"/>
      <c r="I88" s="10">
        <f>IF($A88="","",IF(COUNTIF(PEDIDOS!$A$4:$A$200,$A88)=0,"Ese ID_Pedido no existe en la hoja PEDIDOS",IF(N($D88)&lt;=0,"Falta el monto",IF(N($E88)&gt;N($D88)+0.5,"Pagado mayor que el monto",""))))</f>
        <v/>
      </c>
      <c r="J88" s="4" t="n"/>
    </row>
    <row r="89">
      <c r="A89" s="4" t="n"/>
      <c r="B89" s="4" t="n"/>
      <c r="C89" s="4" t="n"/>
      <c r="D89" s="20" t="n"/>
      <c r="E89" s="20" t="n"/>
      <c r="F89" s="21">
        <f>IF($A89="","",ROUND(N($D89)-N($E89),2))</f>
        <v/>
      </c>
      <c r="G89" s="9">
        <f>IF($A89="","",IF(N($D89)-N($E89)&lt;=0.5,"Pagado",IF(N($E89)&gt;0.5,"Parcial","Pendiente")))</f>
        <v/>
      </c>
      <c r="H89" s="5" t="n"/>
      <c r="I89" s="10">
        <f>IF($A89="","",IF(COUNTIF(PEDIDOS!$A$4:$A$200,$A89)=0,"Ese ID_Pedido no existe en la hoja PEDIDOS",IF(N($D89)&lt;=0,"Falta el monto",IF(N($E89)&gt;N($D89)+0.5,"Pagado mayor que el monto",""))))</f>
        <v/>
      </c>
      <c r="J89" s="4" t="n"/>
    </row>
    <row r="90">
      <c r="A90" s="4" t="n"/>
      <c r="B90" s="4" t="n"/>
      <c r="C90" s="4" t="n"/>
      <c r="D90" s="20" t="n"/>
      <c r="E90" s="20" t="n"/>
      <c r="F90" s="21">
        <f>IF($A90="","",ROUND(N($D90)-N($E90),2))</f>
        <v/>
      </c>
      <c r="G90" s="9">
        <f>IF($A90="","",IF(N($D90)-N($E90)&lt;=0.5,"Pagado",IF(N($E90)&gt;0.5,"Parcial","Pendiente")))</f>
        <v/>
      </c>
      <c r="H90" s="5" t="n"/>
      <c r="I90" s="10">
        <f>IF($A90="","",IF(COUNTIF(PEDIDOS!$A$4:$A$200,$A90)=0,"Ese ID_Pedido no existe en la hoja PEDIDOS",IF(N($D90)&lt;=0,"Falta el monto",IF(N($E90)&gt;N($D90)+0.5,"Pagado mayor que el monto",""))))</f>
        <v/>
      </c>
      <c r="J90" s="4" t="n"/>
    </row>
    <row r="91">
      <c r="A91" s="4" t="n"/>
      <c r="B91" s="4" t="n"/>
      <c r="C91" s="4" t="n"/>
      <c r="D91" s="20" t="n"/>
      <c r="E91" s="20" t="n"/>
      <c r="F91" s="21">
        <f>IF($A91="","",ROUND(N($D91)-N($E91),2))</f>
        <v/>
      </c>
      <c r="G91" s="9">
        <f>IF($A91="","",IF(N($D91)-N($E91)&lt;=0.5,"Pagado",IF(N($E91)&gt;0.5,"Parcial","Pendiente")))</f>
        <v/>
      </c>
      <c r="H91" s="5" t="n"/>
      <c r="I91" s="10">
        <f>IF($A91="","",IF(COUNTIF(PEDIDOS!$A$4:$A$200,$A91)=0,"Ese ID_Pedido no existe en la hoja PEDIDOS",IF(N($D91)&lt;=0,"Falta el monto",IF(N($E91)&gt;N($D91)+0.5,"Pagado mayor que el monto",""))))</f>
        <v/>
      </c>
      <c r="J91" s="4" t="n"/>
    </row>
    <row r="92">
      <c r="A92" s="4" t="n"/>
      <c r="B92" s="4" t="n"/>
      <c r="C92" s="4" t="n"/>
      <c r="D92" s="20" t="n"/>
      <c r="E92" s="20" t="n"/>
      <c r="F92" s="21">
        <f>IF($A92="","",ROUND(N($D92)-N($E92),2))</f>
        <v/>
      </c>
      <c r="G92" s="9">
        <f>IF($A92="","",IF(N($D92)-N($E92)&lt;=0.5,"Pagado",IF(N($E92)&gt;0.5,"Parcial","Pendiente")))</f>
        <v/>
      </c>
      <c r="H92" s="5" t="n"/>
      <c r="I92" s="10">
        <f>IF($A92="","",IF(COUNTIF(PEDIDOS!$A$4:$A$200,$A92)=0,"Ese ID_Pedido no existe en la hoja PEDIDOS",IF(N($D92)&lt;=0,"Falta el monto",IF(N($E92)&gt;N($D92)+0.5,"Pagado mayor que el monto",""))))</f>
        <v/>
      </c>
      <c r="J92" s="4" t="n"/>
    </row>
    <row r="93">
      <c r="A93" s="4" t="n"/>
      <c r="B93" s="4" t="n"/>
      <c r="C93" s="4" t="n"/>
      <c r="D93" s="20" t="n"/>
      <c r="E93" s="20" t="n"/>
      <c r="F93" s="21">
        <f>IF($A93="","",ROUND(N($D93)-N($E93),2))</f>
        <v/>
      </c>
      <c r="G93" s="9">
        <f>IF($A93="","",IF(N($D93)-N($E93)&lt;=0.5,"Pagado",IF(N($E93)&gt;0.5,"Parcial","Pendiente")))</f>
        <v/>
      </c>
      <c r="H93" s="5" t="n"/>
      <c r="I93" s="10">
        <f>IF($A93="","",IF(COUNTIF(PEDIDOS!$A$4:$A$200,$A93)=0,"Ese ID_Pedido no existe en la hoja PEDIDOS",IF(N($D93)&lt;=0,"Falta el monto",IF(N($E93)&gt;N($D93)+0.5,"Pagado mayor que el monto",""))))</f>
        <v/>
      </c>
      <c r="J93" s="4" t="n"/>
    </row>
    <row r="94">
      <c r="A94" s="4" t="n"/>
      <c r="B94" s="4" t="n"/>
      <c r="C94" s="4" t="n"/>
      <c r="D94" s="20" t="n"/>
      <c r="E94" s="20" t="n"/>
      <c r="F94" s="21">
        <f>IF($A94="","",ROUND(N($D94)-N($E94),2))</f>
        <v/>
      </c>
      <c r="G94" s="9">
        <f>IF($A94="","",IF(N($D94)-N($E94)&lt;=0.5,"Pagado",IF(N($E94)&gt;0.5,"Parcial","Pendiente")))</f>
        <v/>
      </c>
      <c r="H94" s="5" t="n"/>
      <c r="I94" s="10">
        <f>IF($A94="","",IF(COUNTIF(PEDIDOS!$A$4:$A$200,$A94)=0,"Ese ID_Pedido no existe en la hoja PEDIDOS",IF(N($D94)&lt;=0,"Falta el monto",IF(N($E94)&gt;N($D94)+0.5,"Pagado mayor que el monto",""))))</f>
        <v/>
      </c>
      <c r="J94" s="4" t="n"/>
    </row>
    <row r="95">
      <c r="A95" s="4" t="n"/>
      <c r="B95" s="4" t="n"/>
      <c r="C95" s="4" t="n"/>
      <c r="D95" s="20" t="n"/>
      <c r="E95" s="20" t="n"/>
      <c r="F95" s="21">
        <f>IF($A95="","",ROUND(N($D95)-N($E95),2))</f>
        <v/>
      </c>
      <c r="G95" s="9">
        <f>IF($A95="","",IF(N($D95)-N($E95)&lt;=0.5,"Pagado",IF(N($E95)&gt;0.5,"Parcial","Pendiente")))</f>
        <v/>
      </c>
      <c r="H95" s="5" t="n"/>
      <c r="I95" s="10">
        <f>IF($A95="","",IF(COUNTIF(PEDIDOS!$A$4:$A$200,$A95)=0,"Ese ID_Pedido no existe en la hoja PEDIDOS",IF(N($D95)&lt;=0,"Falta el monto",IF(N($E95)&gt;N($D95)+0.5,"Pagado mayor que el monto",""))))</f>
        <v/>
      </c>
      <c r="J95" s="4" t="n"/>
    </row>
    <row r="96">
      <c r="A96" s="4" t="n"/>
      <c r="B96" s="4" t="n"/>
      <c r="C96" s="4" t="n"/>
      <c r="D96" s="20" t="n"/>
      <c r="E96" s="20" t="n"/>
      <c r="F96" s="21">
        <f>IF($A96="","",ROUND(N($D96)-N($E96),2))</f>
        <v/>
      </c>
      <c r="G96" s="9">
        <f>IF($A96="","",IF(N($D96)-N($E96)&lt;=0.5,"Pagado",IF(N($E96)&gt;0.5,"Parcial","Pendiente")))</f>
        <v/>
      </c>
      <c r="H96" s="5" t="n"/>
      <c r="I96" s="10">
        <f>IF($A96="","",IF(COUNTIF(PEDIDOS!$A$4:$A$200,$A96)=0,"Ese ID_Pedido no existe en la hoja PEDIDOS",IF(N($D96)&lt;=0,"Falta el monto",IF(N($E96)&gt;N($D96)+0.5,"Pagado mayor que el monto",""))))</f>
        <v/>
      </c>
      <c r="J96" s="4" t="n"/>
    </row>
    <row r="97">
      <c r="A97" s="4" t="n"/>
      <c r="B97" s="4" t="n"/>
      <c r="C97" s="4" t="n"/>
      <c r="D97" s="20" t="n"/>
      <c r="E97" s="20" t="n"/>
      <c r="F97" s="21">
        <f>IF($A97="","",ROUND(N($D97)-N($E97),2))</f>
        <v/>
      </c>
      <c r="G97" s="9">
        <f>IF($A97="","",IF(N($D97)-N($E97)&lt;=0.5,"Pagado",IF(N($E97)&gt;0.5,"Parcial","Pendiente")))</f>
        <v/>
      </c>
      <c r="H97" s="5" t="n"/>
      <c r="I97" s="10">
        <f>IF($A97="","",IF(COUNTIF(PEDIDOS!$A$4:$A$200,$A97)=0,"Ese ID_Pedido no existe en la hoja PEDIDOS",IF(N($D97)&lt;=0,"Falta el monto",IF(N($E97)&gt;N($D97)+0.5,"Pagado mayor que el monto",""))))</f>
        <v/>
      </c>
      <c r="J97" s="4" t="n"/>
    </row>
    <row r="98">
      <c r="A98" s="4" t="n"/>
      <c r="B98" s="4" t="n"/>
      <c r="C98" s="4" t="n"/>
      <c r="D98" s="20" t="n"/>
      <c r="E98" s="20" t="n"/>
      <c r="F98" s="21">
        <f>IF($A98="","",ROUND(N($D98)-N($E98),2))</f>
        <v/>
      </c>
      <c r="G98" s="9">
        <f>IF($A98="","",IF(N($D98)-N($E98)&lt;=0.5,"Pagado",IF(N($E98)&gt;0.5,"Parcial","Pendiente")))</f>
        <v/>
      </c>
      <c r="H98" s="5" t="n"/>
      <c r="I98" s="10">
        <f>IF($A98="","",IF(COUNTIF(PEDIDOS!$A$4:$A$200,$A98)=0,"Ese ID_Pedido no existe en la hoja PEDIDOS",IF(N($D98)&lt;=0,"Falta el monto",IF(N($E98)&gt;N($D98)+0.5,"Pagado mayor que el monto",""))))</f>
        <v/>
      </c>
      <c r="J98" s="4" t="n"/>
    </row>
    <row r="99">
      <c r="A99" s="4" t="n"/>
      <c r="B99" s="4" t="n"/>
      <c r="C99" s="4" t="n"/>
      <c r="D99" s="20" t="n"/>
      <c r="E99" s="20" t="n"/>
      <c r="F99" s="21">
        <f>IF($A99="","",ROUND(N($D99)-N($E99),2))</f>
        <v/>
      </c>
      <c r="G99" s="9">
        <f>IF($A99="","",IF(N($D99)-N($E99)&lt;=0.5,"Pagado",IF(N($E99)&gt;0.5,"Parcial","Pendiente")))</f>
        <v/>
      </c>
      <c r="H99" s="5" t="n"/>
      <c r="I99" s="10">
        <f>IF($A99="","",IF(COUNTIF(PEDIDOS!$A$4:$A$200,$A99)=0,"Ese ID_Pedido no existe en la hoja PEDIDOS",IF(N($D99)&lt;=0,"Falta el monto",IF(N($E99)&gt;N($D99)+0.5,"Pagado mayor que el monto",""))))</f>
        <v/>
      </c>
      <c r="J99" s="4" t="n"/>
    </row>
    <row r="100">
      <c r="A100" s="4" t="n"/>
      <c r="B100" s="4" t="n"/>
      <c r="C100" s="4" t="n"/>
      <c r="D100" s="20" t="n"/>
      <c r="E100" s="20" t="n"/>
      <c r="F100" s="21">
        <f>IF($A100="","",ROUND(N($D100)-N($E100),2))</f>
        <v/>
      </c>
      <c r="G100" s="9">
        <f>IF($A100="","",IF(N($D100)-N($E100)&lt;=0.5,"Pagado",IF(N($E100)&gt;0.5,"Parcial","Pendiente")))</f>
        <v/>
      </c>
      <c r="H100" s="5" t="n"/>
      <c r="I100" s="10">
        <f>IF($A100="","",IF(COUNTIF(PEDIDOS!$A$4:$A$200,$A100)=0,"Ese ID_Pedido no existe en la hoja PEDIDOS",IF(N($D100)&lt;=0,"Falta el monto",IF(N($E100)&gt;N($D100)+0.5,"Pagado mayor que el monto",""))))</f>
        <v/>
      </c>
      <c r="J100" s="4" t="n"/>
    </row>
    <row r="101">
      <c r="A101" s="4" t="n"/>
      <c r="B101" s="4" t="n"/>
      <c r="C101" s="4" t="n"/>
      <c r="D101" s="20" t="n"/>
      <c r="E101" s="20" t="n"/>
      <c r="F101" s="21">
        <f>IF($A101="","",ROUND(N($D101)-N($E101),2))</f>
        <v/>
      </c>
      <c r="G101" s="9">
        <f>IF($A101="","",IF(N($D101)-N($E101)&lt;=0.5,"Pagado",IF(N($E101)&gt;0.5,"Parcial","Pendiente")))</f>
        <v/>
      </c>
      <c r="H101" s="5" t="n"/>
      <c r="I101" s="10">
        <f>IF($A101="","",IF(COUNTIF(PEDIDOS!$A$4:$A$200,$A101)=0,"Ese ID_Pedido no existe en la hoja PEDIDOS",IF(N($D101)&lt;=0,"Falta el monto",IF(N($E101)&gt;N($D101)+0.5,"Pagado mayor que el monto",""))))</f>
        <v/>
      </c>
      <c r="J101" s="4" t="n"/>
    </row>
    <row r="102">
      <c r="A102" s="4" t="n"/>
      <c r="B102" s="4" t="n"/>
      <c r="C102" s="4" t="n"/>
      <c r="D102" s="20" t="n"/>
      <c r="E102" s="20" t="n"/>
      <c r="F102" s="21">
        <f>IF($A102="","",ROUND(N($D102)-N($E102),2))</f>
        <v/>
      </c>
      <c r="G102" s="9">
        <f>IF($A102="","",IF(N($D102)-N($E102)&lt;=0.5,"Pagado",IF(N($E102)&gt;0.5,"Parcial","Pendiente")))</f>
        <v/>
      </c>
      <c r="H102" s="5" t="n"/>
      <c r="I102" s="10">
        <f>IF($A102="","",IF(COUNTIF(PEDIDOS!$A$4:$A$200,$A102)=0,"Ese ID_Pedido no existe en la hoja PEDIDOS",IF(N($D102)&lt;=0,"Falta el monto",IF(N($E102)&gt;N($D102)+0.5,"Pagado mayor que el monto",""))))</f>
        <v/>
      </c>
      <c r="J102" s="4" t="n"/>
    </row>
    <row r="103">
      <c r="A103" s="4" t="n"/>
      <c r="B103" s="4" t="n"/>
      <c r="C103" s="4" t="n"/>
      <c r="D103" s="20" t="n"/>
      <c r="E103" s="20" t="n"/>
      <c r="F103" s="21">
        <f>IF($A103="","",ROUND(N($D103)-N($E103),2))</f>
        <v/>
      </c>
      <c r="G103" s="9">
        <f>IF($A103="","",IF(N($D103)-N($E103)&lt;=0.5,"Pagado",IF(N($E103)&gt;0.5,"Parcial","Pendiente")))</f>
        <v/>
      </c>
      <c r="H103" s="5" t="n"/>
      <c r="I103" s="10">
        <f>IF($A103="","",IF(COUNTIF(PEDIDOS!$A$4:$A$200,$A103)=0,"Ese ID_Pedido no existe en la hoja PEDIDOS",IF(N($D103)&lt;=0,"Falta el monto",IF(N($E103)&gt;N($D103)+0.5,"Pagado mayor que el monto",""))))</f>
        <v/>
      </c>
      <c r="J103" s="4" t="n"/>
    </row>
    <row r="104">
      <c r="A104" s="4" t="n"/>
      <c r="B104" s="4" t="n"/>
      <c r="C104" s="4" t="n"/>
      <c r="D104" s="20" t="n"/>
      <c r="E104" s="20" t="n"/>
      <c r="F104" s="21">
        <f>IF($A104="","",ROUND(N($D104)-N($E104),2))</f>
        <v/>
      </c>
      <c r="G104" s="9">
        <f>IF($A104="","",IF(N($D104)-N($E104)&lt;=0.5,"Pagado",IF(N($E104)&gt;0.5,"Parcial","Pendiente")))</f>
        <v/>
      </c>
      <c r="H104" s="5" t="n"/>
      <c r="I104" s="10">
        <f>IF($A104="","",IF(COUNTIF(PEDIDOS!$A$4:$A$200,$A104)=0,"Ese ID_Pedido no existe en la hoja PEDIDOS",IF(N($D104)&lt;=0,"Falta el monto",IF(N($E104)&gt;N($D104)+0.5,"Pagado mayor que el monto",""))))</f>
        <v/>
      </c>
      <c r="J104" s="4" t="n"/>
    </row>
    <row r="105">
      <c r="A105" s="4" t="n"/>
      <c r="B105" s="4" t="n"/>
      <c r="C105" s="4" t="n"/>
      <c r="D105" s="20" t="n"/>
      <c r="E105" s="20" t="n"/>
      <c r="F105" s="21">
        <f>IF($A105="","",ROUND(N($D105)-N($E105),2))</f>
        <v/>
      </c>
      <c r="G105" s="9">
        <f>IF($A105="","",IF(N($D105)-N($E105)&lt;=0.5,"Pagado",IF(N($E105)&gt;0.5,"Parcial","Pendiente")))</f>
        <v/>
      </c>
      <c r="H105" s="5" t="n"/>
      <c r="I105" s="10">
        <f>IF($A105="","",IF(COUNTIF(PEDIDOS!$A$4:$A$200,$A105)=0,"Ese ID_Pedido no existe en la hoja PEDIDOS",IF(N($D105)&lt;=0,"Falta el monto",IF(N($E105)&gt;N($D105)+0.5,"Pagado mayor que el monto",""))))</f>
        <v/>
      </c>
      <c r="J105" s="4" t="n"/>
    </row>
    <row r="106">
      <c r="A106" s="4" t="n"/>
      <c r="B106" s="4" t="n"/>
      <c r="C106" s="4" t="n"/>
      <c r="D106" s="20" t="n"/>
      <c r="E106" s="20" t="n"/>
      <c r="F106" s="21">
        <f>IF($A106="","",ROUND(N($D106)-N($E106),2))</f>
        <v/>
      </c>
      <c r="G106" s="9">
        <f>IF($A106="","",IF(N($D106)-N($E106)&lt;=0.5,"Pagado",IF(N($E106)&gt;0.5,"Parcial","Pendiente")))</f>
        <v/>
      </c>
      <c r="H106" s="5" t="n"/>
      <c r="I106" s="10">
        <f>IF($A106="","",IF(COUNTIF(PEDIDOS!$A$4:$A$200,$A106)=0,"Ese ID_Pedido no existe en la hoja PEDIDOS",IF(N($D106)&lt;=0,"Falta el monto",IF(N($E106)&gt;N($D106)+0.5,"Pagado mayor que el monto",""))))</f>
        <v/>
      </c>
      <c r="J106" s="4" t="n"/>
    </row>
    <row r="107">
      <c r="A107" s="4" t="n"/>
      <c r="B107" s="4" t="n"/>
      <c r="C107" s="4" t="n"/>
      <c r="D107" s="20" t="n"/>
      <c r="E107" s="20" t="n"/>
      <c r="F107" s="21">
        <f>IF($A107="","",ROUND(N($D107)-N($E107),2))</f>
        <v/>
      </c>
      <c r="G107" s="9">
        <f>IF($A107="","",IF(N($D107)-N($E107)&lt;=0.5,"Pagado",IF(N($E107)&gt;0.5,"Parcial","Pendiente")))</f>
        <v/>
      </c>
      <c r="H107" s="5" t="n"/>
      <c r="I107" s="10">
        <f>IF($A107="","",IF(COUNTIF(PEDIDOS!$A$4:$A$200,$A107)=0,"Ese ID_Pedido no existe en la hoja PEDIDOS",IF(N($D107)&lt;=0,"Falta el monto",IF(N($E107)&gt;N($D107)+0.5,"Pagado mayor que el monto",""))))</f>
        <v/>
      </c>
      <c r="J107" s="4" t="n"/>
    </row>
    <row r="108">
      <c r="A108" s="4" t="n"/>
      <c r="B108" s="4" t="n"/>
      <c r="C108" s="4" t="n"/>
      <c r="D108" s="20" t="n"/>
      <c r="E108" s="20" t="n"/>
      <c r="F108" s="21">
        <f>IF($A108="","",ROUND(N($D108)-N($E108),2))</f>
        <v/>
      </c>
      <c r="G108" s="9">
        <f>IF($A108="","",IF(N($D108)-N($E108)&lt;=0.5,"Pagado",IF(N($E108)&gt;0.5,"Parcial","Pendiente")))</f>
        <v/>
      </c>
      <c r="H108" s="5" t="n"/>
      <c r="I108" s="10">
        <f>IF($A108="","",IF(COUNTIF(PEDIDOS!$A$4:$A$200,$A108)=0,"Ese ID_Pedido no existe en la hoja PEDIDOS",IF(N($D108)&lt;=0,"Falta el monto",IF(N($E108)&gt;N($D108)+0.5,"Pagado mayor que el monto",""))))</f>
        <v/>
      </c>
      <c r="J108" s="4" t="n"/>
    </row>
    <row r="109">
      <c r="A109" s="4" t="n"/>
      <c r="B109" s="4" t="n"/>
      <c r="C109" s="4" t="n"/>
      <c r="D109" s="20" t="n"/>
      <c r="E109" s="20" t="n"/>
      <c r="F109" s="21">
        <f>IF($A109="","",ROUND(N($D109)-N($E109),2))</f>
        <v/>
      </c>
      <c r="G109" s="9">
        <f>IF($A109="","",IF(N($D109)-N($E109)&lt;=0.5,"Pagado",IF(N($E109)&gt;0.5,"Parcial","Pendiente")))</f>
        <v/>
      </c>
      <c r="H109" s="5" t="n"/>
      <c r="I109" s="10">
        <f>IF($A109="","",IF(COUNTIF(PEDIDOS!$A$4:$A$200,$A109)=0,"Ese ID_Pedido no existe en la hoja PEDIDOS",IF(N($D109)&lt;=0,"Falta el monto",IF(N($E109)&gt;N($D109)+0.5,"Pagado mayor que el monto",""))))</f>
        <v/>
      </c>
      <c r="J109" s="4" t="n"/>
    </row>
    <row r="110">
      <c r="A110" s="4" t="n"/>
      <c r="B110" s="4" t="n"/>
      <c r="C110" s="4" t="n"/>
      <c r="D110" s="20" t="n"/>
      <c r="E110" s="20" t="n"/>
      <c r="F110" s="21">
        <f>IF($A110="","",ROUND(N($D110)-N($E110),2))</f>
        <v/>
      </c>
      <c r="G110" s="9">
        <f>IF($A110="","",IF(N($D110)-N($E110)&lt;=0.5,"Pagado",IF(N($E110)&gt;0.5,"Parcial","Pendiente")))</f>
        <v/>
      </c>
      <c r="H110" s="5" t="n"/>
      <c r="I110" s="10">
        <f>IF($A110="","",IF(COUNTIF(PEDIDOS!$A$4:$A$200,$A110)=0,"Ese ID_Pedido no existe en la hoja PEDIDOS",IF(N($D110)&lt;=0,"Falta el monto",IF(N($E110)&gt;N($D110)+0.5,"Pagado mayor que el monto",""))))</f>
        <v/>
      </c>
      <c r="J110" s="4" t="n"/>
    </row>
    <row r="111">
      <c r="A111" s="4" t="n"/>
      <c r="B111" s="4" t="n"/>
      <c r="C111" s="4" t="n"/>
      <c r="D111" s="20" t="n"/>
      <c r="E111" s="20" t="n"/>
      <c r="F111" s="21">
        <f>IF($A111="","",ROUND(N($D111)-N($E111),2))</f>
        <v/>
      </c>
      <c r="G111" s="9">
        <f>IF($A111="","",IF(N($D111)-N($E111)&lt;=0.5,"Pagado",IF(N($E111)&gt;0.5,"Parcial","Pendiente")))</f>
        <v/>
      </c>
      <c r="H111" s="5" t="n"/>
      <c r="I111" s="10">
        <f>IF($A111="","",IF(COUNTIF(PEDIDOS!$A$4:$A$200,$A111)=0,"Ese ID_Pedido no existe en la hoja PEDIDOS",IF(N($D111)&lt;=0,"Falta el monto",IF(N($E111)&gt;N($D111)+0.5,"Pagado mayor que el monto",""))))</f>
        <v/>
      </c>
      <c r="J111" s="4" t="n"/>
    </row>
    <row r="112">
      <c r="A112" s="4" t="n"/>
      <c r="B112" s="4" t="n"/>
      <c r="C112" s="4" t="n"/>
      <c r="D112" s="20" t="n"/>
      <c r="E112" s="20" t="n"/>
      <c r="F112" s="21">
        <f>IF($A112="","",ROUND(N($D112)-N($E112),2))</f>
        <v/>
      </c>
      <c r="G112" s="9">
        <f>IF($A112="","",IF(N($D112)-N($E112)&lt;=0.5,"Pagado",IF(N($E112)&gt;0.5,"Parcial","Pendiente")))</f>
        <v/>
      </c>
      <c r="H112" s="5" t="n"/>
      <c r="I112" s="10">
        <f>IF($A112="","",IF(COUNTIF(PEDIDOS!$A$4:$A$200,$A112)=0,"Ese ID_Pedido no existe en la hoja PEDIDOS",IF(N($D112)&lt;=0,"Falta el monto",IF(N($E112)&gt;N($D112)+0.5,"Pagado mayor que el monto",""))))</f>
        <v/>
      </c>
      <c r="J112" s="4" t="n"/>
    </row>
    <row r="113">
      <c r="A113" s="4" t="n"/>
      <c r="B113" s="4" t="n"/>
      <c r="C113" s="4" t="n"/>
      <c r="D113" s="20" t="n"/>
      <c r="E113" s="20" t="n"/>
      <c r="F113" s="21">
        <f>IF($A113="","",ROUND(N($D113)-N($E113),2))</f>
        <v/>
      </c>
      <c r="G113" s="9">
        <f>IF($A113="","",IF(N($D113)-N($E113)&lt;=0.5,"Pagado",IF(N($E113)&gt;0.5,"Parcial","Pendiente")))</f>
        <v/>
      </c>
      <c r="H113" s="5" t="n"/>
      <c r="I113" s="10">
        <f>IF($A113="","",IF(COUNTIF(PEDIDOS!$A$4:$A$200,$A113)=0,"Ese ID_Pedido no existe en la hoja PEDIDOS",IF(N($D113)&lt;=0,"Falta el monto",IF(N($E113)&gt;N($D113)+0.5,"Pagado mayor que el monto",""))))</f>
        <v/>
      </c>
      <c r="J113" s="4" t="n"/>
    </row>
    <row r="114">
      <c r="A114" s="4" t="n"/>
      <c r="B114" s="4" t="n"/>
      <c r="C114" s="4" t="n"/>
      <c r="D114" s="20" t="n"/>
      <c r="E114" s="20" t="n"/>
      <c r="F114" s="21">
        <f>IF($A114="","",ROUND(N($D114)-N($E114),2))</f>
        <v/>
      </c>
      <c r="G114" s="9">
        <f>IF($A114="","",IF(N($D114)-N($E114)&lt;=0.5,"Pagado",IF(N($E114)&gt;0.5,"Parcial","Pendiente")))</f>
        <v/>
      </c>
      <c r="H114" s="5" t="n"/>
      <c r="I114" s="10">
        <f>IF($A114="","",IF(COUNTIF(PEDIDOS!$A$4:$A$200,$A114)=0,"Ese ID_Pedido no existe en la hoja PEDIDOS",IF(N($D114)&lt;=0,"Falta el monto",IF(N($E114)&gt;N($D114)+0.5,"Pagado mayor que el monto",""))))</f>
        <v/>
      </c>
      <c r="J114" s="4" t="n"/>
    </row>
    <row r="115">
      <c r="A115" s="4" t="n"/>
      <c r="B115" s="4" t="n"/>
      <c r="C115" s="4" t="n"/>
      <c r="D115" s="20" t="n"/>
      <c r="E115" s="20" t="n"/>
      <c r="F115" s="21">
        <f>IF($A115="","",ROUND(N($D115)-N($E115),2))</f>
        <v/>
      </c>
      <c r="G115" s="9">
        <f>IF($A115="","",IF(N($D115)-N($E115)&lt;=0.5,"Pagado",IF(N($E115)&gt;0.5,"Parcial","Pendiente")))</f>
        <v/>
      </c>
      <c r="H115" s="5" t="n"/>
      <c r="I115" s="10">
        <f>IF($A115="","",IF(COUNTIF(PEDIDOS!$A$4:$A$200,$A115)=0,"Ese ID_Pedido no existe en la hoja PEDIDOS",IF(N($D115)&lt;=0,"Falta el monto",IF(N($E115)&gt;N($D115)+0.5,"Pagado mayor que el monto",""))))</f>
        <v/>
      </c>
      <c r="J115" s="4" t="n"/>
    </row>
    <row r="116">
      <c r="A116" s="4" t="n"/>
      <c r="B116" s="4" t="n"/>
      <c r="C116" s="4" t="n"/>
      <c r="D116" s="20" t="n"/>
      <c r="E116" s="20" t="n"/>
      <c r="F116" s="21">
        <f>IF($A116="","",ROUND(N($D116)-N($E116),2))</f>
        <v/>
      </c>
      <c r="G116" s="9">
        <f>IF($A116="","",IF(N($D116)-N($E116)&lt;=0.5,"Pagado",IF(N($E116)&gt;0.5,"Parcial","Pendiente")))</f>
        <v/>
      </c>
      <c r="H116" s="5" t="n"/>
      <c r="I116" s="10">
        <f>IF($A116="","",IF(COUNTIF(PEDIDOS!$A$4:$A$200,$A116)=0,"Ese ID_Pedido no existe en la hoja PEDIDOS",IF(N($D116)&lt;=0,"Falta el monto",IF(N($E116)&gt;N($D116)+0.5,"Pagado mayor que el monto",""))))</f>
        <v/>
      </c>
      <c r="J116" s="4" t="n"/>
    </row>
    <row r="117">
      <c r="A117" s="4" t="n"/>
      <c r="B117" s="4" t="n"/>
      <c r="C117" s="4" t="n"/>
      <c r="D117" s="20" t="n"/>
      <c r="E117" s="20" t="n"/>
      <c r="F117" s="21">
        <f>IF($A117="","",ROUND(N($D117)-N($E117),2))</f>
        <v/>
      </c>
      <c r="G117" s="9">
        <f>IF($A117="","",IF(N($D117)-N($E117)&lt;=0.5,"Pagado",IF(N($E117)&gt;0.5,"Parcial","Pendiente")))</f>
        <v/>
      </c>
      <c r="H117" s="5" t="n"/>
      <c r="I117" s="10">
        <f>IF($A117="","",IF(COUNTIF(PEDIDOS!$A$4:$A$200,$A117)=0,"Ese ID_Pedido no existe en la hoja PEDIDOS",IF(N($D117)&lt;=0,"Falta el monto",IF(N($E117)&gt;N($D117)+0.5,"Pagado mayor que el monto",""))))</f>
        <v/>
      </c>
      <c r="J117" s="4" t="n"/>
    </row>
    <row r="118">
      <c r="A118" s="4" t="n"/>
      <c r="B118" s="4" t="n"/>
      <c r="C118" s="4" t="n"/>
      <c r="D118" s="20" t="n"/>
      <c r="E118" s="20" t="n"/>
      <c r="F118" s="21">
        <f>IF($A118="","",ROUND(N($D118)-N($E118),2))</f>
        <v/>
      </c>
      <c r="G118" s="9">
        <f>IF($A118="","",IF(N($D118)-N($E118)&lt;=0.5,"Pagado",IF(N($E118)&gt;0.5,"Parcial","Pendiente")))</f>
        <v/>
      </c>
      <c r="H118" s="5" t="n"/>
      <c r="I118" s="10">
        <f>IF($A118="","",IF(COUNTIF(PEDIDOS!$A$4:$A$200,$A118)=0,"Ese ID_Pedido no existe en la hoja PEDIDOS",IF(N($D118)&lt;=0,"Falta el monto",IF(N($E118)&gt;N($D118)+0.5,"Pagado mayor que el monto",""))))</f>
        <v/>
      </c>
      <c r="J118" s="4" t="n"/>
    </row>
    <row r="119">
      <c r="A119" s="4" t="n"/>
      <c r="B119" s="4" t="n"/>
      <c r="C119" s="4" t="n"/>
      <c r="D119" s="20" t="n"/>
      <c r="E119" s="20" t="n"/>
      <c r="F119" s="21">
        <f>IF($A119="","",ROUND(N($D119)-N($E119),2))</f>
        <v/>
      </c>
      <c r="G119" s="9">
        <f>IF($A119="","",IF(N($D119)-N($E119)&lt;=0.5,"Pagado",IF(N($E119)&gt;0.5,"Parcial","Pendiente")))</f>
        <v/>
      </c>
      <c r="H119" s="5" t="n"/>
      <c r="I119" s="10">
        <f>IF($A119="","",IF(COUNTIF(PEDIDOS!$A$4:$A$200,$A119)=0,"Ese ID_Pedido no existe en la hoja PEDIDOS",IF(N($D119)&lt;=0,"Falta el monto",IF(N($E119)&gt;N($D119)+0.5,"Pagado mayor que el monto",""))))</f>
        <v/>
      </c>
      <c r="J119" s="4" t="n"/>
    </row>
    <row r="120">
      <c r="A120" s="4" t="n"/>
      <c r="B120" s="4" t="n"/>
      <c r="C120" s="4" t="n"/>
      <c r="D120" s="20" t="n"/>
      <c r="E120" s="20" t="n"/>
      <c r="F120" s="21">
        <f>IF($A120="","",ROUND(N($D120)-N($E120),2))</f>
        <v/>
      </c>
      <c r="G120" s="9">
        <f>IF($A120="","",IF(N($D120)-N($E120)&lt;=0.5,"Pagado",IF(N($E120)&gt;0.5,"Parcial","Pendiente")))</f>
        <v/>
      </c>
      <c r="H120" s="5" t="n"/>
      <c r="I120" s="10">
        <f>IF($A120="","",IF(COUNTIF(PEDIDOS!$A$4:$A$200,$A120)=0,"Ese ID_Pedido no existe en la hoja PEDIDOS",IF(N($D120)&lt;=0,"Falta el monto",IF(N($E120)&gt;N($D120)+0.5,"Pagado mayor que el monto",""))))</f>
        <v/>
      </c>
      <c r="J120" s="4" t="n"/>
    </row>
    <row r="121">
      <c r="A121" s="4" t="n"/>
      <c r="B121" s="4" t="n"/>
      <c r="C121" s="4" t="n"/>
      <c r="D121" s="20" t="n"/>
      <c r="E121" s="20" t="n"/>
      <c r="F121" s="21">
        <f>IF($A121="","",ROUND(N($D121)-N($E121),2))</f>
        <v/>
      </c>
      <c r="G121" s="9">
        <f>IF($A121="","",IF(N($D121)-N($E121)&lt;=0.5,"Pagado",IF(N($E121)&gt;0.5,"Parcial","Pendiente")))</f>
        <v/>
      </c>
      <c r="H121" s="5" t="n"/>
      <c r="I121" s="10">
        <f>IF($A121="","",IF(COUNTIF(PEDIDOS!$A$4:$A$200,$A121)=0,"Ese ID_Pedido no existe en la hoja PEDIDOS",IF(N($D121)&lt;=0,"Falta el monto",IF(N($E121)&gt;N($D121)+0.5,"Pagado mayor que el monto",""))))</f>
        <v/>
      </c>
      <c r="J121" s="4" t="n"/>
    </row>
    <row r="122">
      <c r="A122" s="4" t="n"/>
      <c r="B122" s="4" t="n"/>
      <c r="C122" s="4" t="n"/>
      <c r="D122" s="20" t="n"/>
      <c r="E122" s="20" t="n"/>
      <c r="F122" s="21">
        <f>IF($A122="","",ROUND(N($D122)-N($E122),2))</f>
        <v/>
      </c>
      <c r="G122" s="9">
        <f>IF($A122="","",IF(N($D122)-N($E122)&lt;=0.5,"Pagado",IF(N($E122)&gt;0.5,"Parcial","Pendiente")))</f>
        <v/>
      </c>
      <c r="H122" s="5" t="n"/>
      <c r="I122" s="10">
        <f>IF($A122="","",IF(COUNTIF(PEDIDOS!$A$4:$A$200,$A122)=0,"Ese ID_Pedido no existe en la hoja PEDIDOS",IF(N($D122)&lt;=0,"Falta el monto",IF(N($E122)&gt;N($D122)+0.5,"Pagado mayor que el monto",""))))</f>
        <v/>
      </c>
      <c r="J122" s="4" t="n"/>
    </row>
    <row r="123">
      <c r="A123" s="4" t="n"/>
      <c r="B123" s="4" t="n"/>
      <c r="C123" s="4" t="n"/>
      <c r="D123" s="20" t="n"/>
      <c r="E123" s="20" t="n"/>
      <c r="F123" s="21">
        <f>IF($A123="","",ROUND(N($D123)-N($E123),2))</f>
        <v/>
      </c>
      <c r="G123" s="9">
        <f>IF($A123="","",IF(N($D123)-N($E123)&lt;=0.5,"Pagado",IF(N($E123)&gt;0.5,"Parcial","Pendiente")))</f>
        <v/>
      </c>
      <c r="H123" s="5" t="n"/>
      <c r="I123" s="10">
        <f>IF($A123="","",IF(COUNTIF(PEDIDOS!$A$4:$A$200,$A123)=0,"Ese ID_Pedido no existe en la hoja PEDIDOS",IF(N($D123)&lt;=0,"Falta el monto",IF(N($E123)&gt;N($D123)+0.5,"Pagado mayor que el monto",""))))</f>
        <v/>
      </c>
      <c r="J123" s="4" t="n"/>
    </row>
    <row r="124">
      <c r="A124" s="4" t="n"/>
      <c r="B124" s="4" t="n"/>
      <c r="C124" s="4" t="n"/>
      <c r="D124" s="20" t="n"/>
      <c r="E124" s="20" t="n"/>
      <c r="F124" s="21">
        <f>IF($A124="","",ROUND(N($D124)-N($E124),2))</f>
        <v/>
      </c>
      <c r="G124" s="9">
        <f>IF($A124="","",IF(N($D124)-N($E124)&lt;=0.5,"Pagado",IF(N($E124)&gt;0.5,"Parcial","Pendiente")))</f>
        <v/>
      </c>
      <c r="H124" s="5" t="n"/>
      <c r="I124" s="10">
        <f>IF($A124="","",IF(COUNTIF(PEDIDOS!$A$4:$A$200,$A124)=0,"Ese ID_Pedido no existe en la hoja PEDIDOS",IF(N($D124)&lt;=0,"Falta el monto",IF(N($E124)&gt;N($D124)+0.5,"Pagado mayor que el monto",""))))</f>
        <v/>
      </c>
      <c r="J124" s="4" t="n"/>
    </row>
    <row r="125">
      <c r="A125" s="4" t="n"/>
      <c r="B125" s="4" t="n"/>
      <c r="C125" s="4" t="n"/>
      <c r="D125" s="20" t="n"/>
      <c r="E125" s="20" t="n"/>
      <c r="F125" s="21">
        <f>IF($A125="","",ROUND(N($D125)-N($E125),2))</f>
        <v/>
      </c>
      <c r="G125" s="9">
        <f>IF($A125="","",IF(N($D125)-N($E125)&lt;=0.5,"Pagado",IF(N($E125)&gt;0.5,"Parcial","Pendiente")))</f>
        <v/>
      </c>
      <c r="H125" s="5" t="n"/>
      <c r="I125" s="10">
        <f>IF($A125="","",IF(COUNTIF(PEDIDOS!$A$4:$A$200,$A125)=0,"Ese ID_Pedido no existe en la hoja PEDIDOS",IF(N($D125)&lt;=0,"Falta el monto",IF(N($E125)&gt;N($D125)+0.5,"Pagado mayor que el monto",""))))</f>
        <v/>
      </c>
      <c r="J125" s="4" t="n"/>
    </row>
    <row r="126">
      <c r="A126" s="4" t="n"/>
      <c r="B126" s="4" t="n"/>
      <c r="C126" s="4" t="n"/>
      <c r="D126" s="20" t="n"/>
      <c r="E126" s="20" t="n"/>
      <c r="F126" s="21">
        <f>IF($A126="","",ROUND(N($D126)-N($E126),2))</f>
        <v/>
      </c>
      <c r="G126" s="9">
        <f>IF($A126="","",IF(N($D126)-N($E126)&lt;=0.5,"Pagado",IF(N($E126)&gt;0.5,"Parcial","Pendiente")))</f>
        <v/>
      </c>
      <c r="H126" s="5" t="n"/>
      <c r="I126" s="10">
        <f>IF($A126="","",IF(COUNTIF(PEDIDOS!$A$4:$A$200,$A126)=0,"Ese ID_Pedido no existe en la hoja PEDIDOS",IF(N($D126)&lt;=0,"Falta el monto",IF(N($E126)&gt;N($D126)+0.5,"Pagado mayor que el monto",""))))</f>
        <v/>
      </c>
      <c r="J126" s="4" t="n"/>
    </row>
    <row r="127">
      <c r="A127" s="4" t="n"/>
      <c r="B127" s="4" t="n"/>
      <c r="C127" s="4" t="n"/>
      <c r="D127" s="20" t="n"/>
      <c r="E127" s="20" t="n"/>
      <c r="F127" s="21">
        <f>IF($A127="","",ROUND(N($D127)-N($E127),2))</f>
        <v/>
      </c>
      <c r="G127" s="9">
        <f>IF($A127="","",IF(N($D127)-N($E127)&lt;=0.5,"Pagado",IF(N($E127)&gt;0.5,"Parcial","Pendiente")))</f>
        <v/>
      </c>
      <c r="H127" s="5" t="n"/>
      <c r="I127" s="10">
        <f>IF($A127="","",IF(COUNTIF(PEDIDOS!$A$4:$A$200,$A127)=0,"Ese ID_Pedido no existe en la hoja PEDIDOS",IF(N($D127)&lt;=0,"Falta el monto",IF(N($E127)&gt;N($D127)+0.5,"Pagado mayor que el monto",""))))</f>
        <v/>
      </c>
      <c r="J127" s="4" t="n"/>
    </row>
    <row r="128">
      <c r="A128" s="4" t="n"/>
      <c r="B128" s="4" t="n"/>
      <c r="C128" s="4" t="n"/>
      <c r="D128" s="20" t="n"/>
      <c r="E128" s="20" t="n"/>
      <c r="F128" s="21">
        <f>IF($A128="","",ROUND(N($D128)-N($E128),2))</f>
        <v/>
      </c>
      <c r="G128" s="9">
        <f>IF($A128="","",IF(N($D128)-N($E128)&lt;=0.5,"Pagado",IF(N($E128)&gt;0.5,"Parcial","Pendiente")))</f>
        <v/>
      </c>
      <c r="H128" s="5" t="n"/>
      <c r="I128" s="10">
        <f>IF($A128="","",IF(COUNTIF(PEDIDOS!$A$4:$A$200,$A128)=0,"Ese ID_Pedido no existe en la hoja PEDIDOS",IF(N($D128)&lt;=0,"Falta el monto",IF(N($E128)&gt;N($D128)+0.5,"Pagado mayor que el monto",""))))</f>
        <v/>
      </c>
      <c r="J128" s="4" t="n"/>
    </row>
    <row r="129">
      <c r="A129" s="4" t="n"/>
      <c r="B129" s="4" t="n"/>
      <c r="C129" s="4" t="n"/>
      <c r="D129" s="20" t="n"/>
      <c r="E129" s="20" t="n"/>
      <c r="F129" s="21">
        <f>IF($A129="","",ROUND(N($D129)-N($E129),2))</f>
        <v/>
      </c>
      <c r="G129" s="9">
        <f>IF($A129="","",IF(N($D129)-N($E129)&lt;=0.5,"Pagado",IF(N($E129)&gt;0.5,"Parcial","Pendiente")))</f>
        <v/>
      </c>
      <c r="H129" s="5" t="n"/>
      <c r="I129" s="10">
        <f>IF($A129="","",IF(COUNTIF(PEDIDOS!$A$4:$A$200,$A129)=0,"Ese ID_Pedido no existe en la hoja PEDIDOS",IF(N($D129)&lt;=0,"Falta el monto",IF(N($E129)&gt;N($D129)+0.5,"Pagado mayor que el monto",""))))</f>
        <v/>
      </c>
      <c r="J129" s="4" t="n"/>
    </row>
    <row r="130">
      <c r="A130" s="4" t="n"/>
      <c r="B130" s="4" t="n"/>
      <c r="C130" s="4" t="n"/>
      <c r="D130" s="20" t="n"/>
      <c r="E130" s="20" t="n"/>
      <c r="F130" s="21">
        <f>IF($A130="","",ROUND(N($D130)-N($E130),2))</f>
        <v/>
      </c>
      <c r="G130" s="9">
        <f>IF($A130="","",IF(N($D130)-N($E130)&lt;=0.5,"Pagado",IF(N($E130)&gt;0.5,"Parcial","Pendiente")))</f>
        <v/>
      </c>
      <c r="H130" s="5" t="n"/>
      <c r="I130" s="10">
        <f>IF($A130="","",IF(COUNTIF(PEDIDOS!$A$4:$A$200,$A130)=0,"Ese ID_Pedido no existe en la hoja PEDIDOS",IF(N($D130)&lt;=0,"Falta el monto",IF(N($E130)&gt;N($D130)+0.5,"Pagado mayor que el monto",""))))</f>
        <v/>
      </c>
      <c r="J130" s="4" t="n"/>
    </row>
    <row r="131">
      <c r="A131" s="4" t="n"/>
      <c r="B131" s="4" t="n"/>
      <c r="C131" s="4" t="n"/>
      <c r="D131" s="20" t="n"/>
      <c r="E131" s="20" t="n"/>
      <c r="F131" s="21">
        <f>IF($A131="","",ROUND(N($D131)-N($E131),2))</f>
        <v/>
      </c>
      <c r="G131" s="9">
        <f>IF($A131="","",IF(N($D131)-N($E131)&lt;=0.5,"Pagado",IF(N($E131)&gt;0.5,"Parcial","Pendiente")))</f>
        <v/>
      </c>
      <c r="H131" s="5" t="n"/>
      <c r="I131" s="10">
        <f>IF($A131="","",IF(COUNTIF(PEDIDOS!$A$4:$A$200,$A131)=0,"Ese ID_Pedido no existe en la hoja PEDIDOS",IF(N($D131)&lt;=0,"Falta el monto",IF(N($E131)&gt;N($D131)+0.5,"Pagado mayor que el monto",""))))</f>
        <v/>
      </c>
      <c r="J131" s="4" t="n"/>
    </row>
    <row r="132">
      <c r="A132" s="4" t="n"/>
      <c r="B132" s="4" t="n"/>
      <c r="C132" s="4" t="n"/>
      <c r="D132" s="20" t="n"/>
      <c r="E132" s="20" t="n"/>
      <c r="F132" s="21">
        <f>IF($A132="","",ROUND(N($D132)-N($E132),2))</f>
        <v/>
      </c>
      <c r="G132" s="9">
        <f>IF($A132="","",IF(N($D132)-N($E132)&lt;=0.5,"Pagado",IF(N($E132)&gt;0.5,"Parcial","Pendiente")))</f>
        <v/>
      </c>
      <c r="H132" s="5" t="n"/>
      <c r="I132" s="10">
        <f>IF($A132="","",IF(COUNTIF(PEDIDOS!$A$4:$A$200,$A132)=0,"Ese ID_Pedido no existe en la hoja PEDIDOS",IF(N($D132)&lt;=0,"Falta el monto",IF(N($E132)&gt;N($D132)+0.5,"Pagado mayor que el monto",""))))</f>
        <v/>
      </c>
      <c r="J132" s="4" t="n"/>
    </row>
    <row r="133">
      <c r="A133" s="4" t="n"/>
      <c r="B133" s="4" t="n"/>
      <c r="C133" s="4" t="n"/>
      <c r="D133" s="20" t="n"/>
      <c r="E133" s="20" t="n"/>
      <c r="F133" s="21">
        <f>IF($A133="","",ROUND(N($D133)-N($E133),2))</f>
        <v/>
      </c>
      <c r="G133" s="9">
        <f>IF($A133="","",IF(N($D133)-N($E133)&lt;=0.5,"Pagado",IF(N($E133)&gt;0.5,"Parcial","Pendiente")))</f>
        <v/>
      </c>
      <c r="H133" s="5" t="n"/>
      <c r="I133" s="10">
        <f>IF($A133="","",IF(COUNTIF(PEDIDOS!$A$4:$A$200,$A133)=0,"Ese ID_Pedido no existe en la hoja PEDIDOS",IF(N($D133)&lt;=0,"Falta el monto",IF(N($E133)&gt;N($D133)+0.5,"Pagado mayor que el monto",""))))</f>
        <v/>
      </c>
      <c r="J133" s="4" t="n"/>
    </row>
    <row r="134">
      <c r="A134" s="4" t="n"/>
      <c r="B134" s="4" t="n"/>
      <c r="C134" s="4" t="n"/>
      <c r="D134" s="20" t="n"/>
      <c r="E134" s="20" t="n"/>
      <c r="F134" s="21">
        <f>IF($A134="","",ROUND(N($D134)-N($E134),2))</f>
        <v/>
      </c>
      <c r="G134" s="9">
        <f>IF($A134="","",IF(N($D134)-N($E134)&lt;=0.5,"Pagado",IF(N($E134)&gt;0.5,"Parcial","Pendiente")))</f>
        <v/>
      </c>
      <c r="H134" s="5" t="n"/>
      <c r="I134" s="10">
        <f>IF($A134="","",IF(COUNTIF(PEDIDOS!$A$4:$A$200,$A134)=0,"Ese ID_Pedido no existe en la hoja PEDIDOS",IF(N($D134)&lt;=0,"Falta el monto",IF(N($E134)&gt;N($D134)+0.5,"Pagado mayor que el monto",""))))</f>
        <v/>
      </c>
      <c r="J134" s="4" t="n"/>
    </row>
    <row r="135">
      <c r="A135" s="4" t="n"/>
      <c r="B135" s="4" t="n"/>
      <c r="C135" s="4" t="n"/>
      <c r="D135" s="20" t="n"/>
      <c r="E135" s="20" t="n"/>
      <c r="F135" s="21">
        <f>IF($A135="","",ROUND(N($D135)-N($E135),2))</f>
        <v/>
      </c>
      <c r="G135" s="9">
        <f>IF($A135="","",IF(N($D135)-N($E135)&lt;=0.5,"Pagado",IF(N($E135)&gt;0.5,"Parcial","Pendiente")))</f>
        <v/>
      </c>
      <c r="H135" s="5" t="n"/>
      <c r="I135" s="10">
        <f>IF($A135="","",IF(COUNTIF(PEDIDOS!$A$4:$A$200,$A135)=0,"Ese ID_Pedido no existe en la hoja PEDIDOS",IF(N($D135)&lt;=0,"Falta el monto",IF(N($E135)&gt;N($D135)+0.5,"Pagado mayor que el monto",""))))</f>
        <v/>
      </c>
      <c r="J135" s="4" t="n"/>
    </row>
    <row r="136">
      <c r="A136" s="4" t="n"/>
      <c r="B136" s="4" t="n"/>
      <c r="C136" s="4" t="n"/>
      <c r="D136" s="20" t="n"/>
      <c r="E136" s="20" t="n"/>
      <c r="F136" s="21">
        <f>IF($A136="","",ROUND(N($D136)-N($E136),2))</f>
        <v/>
      </c>
      <c r="G136" s="9">
        <f>IF($A136="","",IF(N($D136)-N($E136)&lt;=0.5,"Pagado",IF(N($E136)&gt;0.5,"Parcial","Pendiente")))</f>
        <v/>
      </c>
      <c r="H136" s="5" t="n"/>
      <c r="I136" s="10">
        <f>IF($A136="","",IF(COUNTIF(PEDIDOS!$A$4:$A$200,$A136)=0,"Ese ID_Pedido no existe en la hoja PEDIDOS",IF(N($D136)&lt;=0,"Falta el monto",IF(N($E136)&gt;N($D136)+0.5,"Pagado mayor que el monto",""))))</f>
        <v/>
      </c>
      <c r="J136" s="4" t="n"/>
    </row>
    <row r="137">
      <c r="A137" s="4" t="n"/>
      <c r="B137" s="4" t="n"/>
      <c r="C137" s="4" t="n"/>
      <c r="D137" s="20" t="n"/>
      <c r="E137" s="20" t="n"/>
      <c r="F137" s="21">
        <f>IF($A137="","",ROUND(N($D137)-N($E137),2))</f>
        <v/>
      </c>
      <c r="G137" s="9">
        <f>IF($A137="","",IF(N($D137)-N($E137)&lt;=0.5,"Pagado",IF(N($E137)&gt;0.5,"Parcial","Pendiente")))</f>
        <v/>
      </c>
      <c r="H137" s="5" t="n"/>
      <c r="I137" s="10">
        <f>IF($A137="","",IF(COUNTIF(PEDIDOS!$A$4:$A$200,$A137)=0,"Ese ID_Pedido no existe en la hoja PEDIDOS",IF(N($D137)&lt;=0,"Falta el monto",IF(N($E137)&gt;N($D137)+0.5,"Pagado mayor que el monto",""))))</f>
        <v/>
      </c>
      <c r="J137" s="4" t="n"/>
    </row>
    <row r="138">
      <c r="A138" s="4" t="n"/>
      <c r="B138" s="4" t="n"/>
      <c r="C138" s="4" t="n"/>
      <c r="D138" s="20" t="n"/>
      <c r="E138" s="20" t="n"/>
      <c r="F138" s="21">
        <f>IF($A138="","",ROUND(N($D138)-N($E138),2))</f>
        <v/>
      </c>
      <c r="G138" s="9">
        <f>IF($A138="","",IF(N($D138)-N($E138)&lt;=0.5,"Pagado",IF(N($E138)&gt;0.5,"Parcial","Pendiente")))</f>
        <v/>
      </c>
      <c r="H138" s="5" t="n"/>
      <c r="I138" s="10">
        <f>IF($A138="","",IF(COUNTIF(PEDIDOS!$A$4:$A$200,$A138)=0,"Ese ID_Pedido no existe en la hoja PEDIDOS",IF(N($D138)&lt;=0,"Falta el monto",IF(N($E138)&gt;N($D138)+0.5,"Pagado mayor que el monto",""))))</f>
        <v/>
      </c>
      <c r="J138" s="4" t="n"/>
    </row>
    <row r="139">
      <c r="A139" s="4" t="n"/>
      <c r="B139" s="4" t="n"/>
      <c r="C139" s="4" t="n"/>
      <c r="D139" s="20" t="n"/>
      <c r="E139" s="20" t="n"/>
      <c r="F139" s="21">
        <f>IF($A139="","",ROUND(N($D139)-N($E139),2))</f>
        <v/>
      </c>
      <c r="G139" s="9">
        <f>IF($A139="","",IF(N($D139)-N($E139)&lt;=0.5,"Pagado",IF(N($E139)&gt;0.5,"Parcial","Pendiente")))</f>
        <v/>
      </c>
      <c r="H139" s="5" t="n"/>
      <c r="I139" s="10">
        <f>IF($A139="","",IF(COUNTIF(PEDIDOS!$A$4:$A$200,$A139)=0,"Ese ID_Pedido no existe en la hoja PEDIDOS",IF(N($D139)&lt;=0,"Falta el monto",IF(N($E139)&gt;N($D139)+0.5,"Pagado mayor que el monto",""))))</f>
        <v/>
      </c>
      <c r="J139" s="4" t="n"/>
    </row>
    <row r="140">
      <c r="A140" s="4" t="n"/>
      <c r="B140" s="4" t="n"/>
      <c r="C140" s="4" t="n"/>
      <c r="D140" s="20" t="n"/>
      <c r="E140" s="20" t="n"/>
      <c r="F140" s="21">
        <f>IF($A140="","",ROUND(N($D140)-N($E140),2))</f>
        <v/>
      </c>
      <c r="G140" s="9">
        <f>IF($A140="","",IF(N($D140)-N($E140)&lt;=0.5,"Pagado",IF(N($E140)&gt;0.5,"Parcial","Pendiente")))</f>
        <v/>
      </c>
      <c r="H140" s="5" t="n"/>
      <c r="I140" s="10">
        <f>IF($A140="","",IF(COUNTIF(PEDIDOS!$A$4:$A$200,$A140)=0,"Ese ID_Pedido no existe en la hoja PEDIDOS",IF(N($D140)&lt;=0,"Falta el monto",IF(N($E140)&gt;N($D140)+0.5,"Pagado mayor que el monto",""))))</f>
        <v/>
      </c>
      <c r="J140" s="4" t="n"/>
    </row>
    <row r="141">
      <c r="A141" s="4" t="n"/>
      <c r="B141" s="4" t="n"/>
      <c r="C141" s="4" t="n"/>
      <c r="D141" s="20" t="n"/>
      <c r="E141" s="20" t="n"/>
      <c r="F141" s="21">
        <f>IF($A141="","",ROUND(N($D141)-N($E141),2))</f>
        <v/>
      </c>
      <c r="G141" s="9">
        <f>IF($A141="","",IF(N($D141)-N($E141)&lt;=0.5,"Pagado",IF(N($E141)&gt;0.5,"Parcial","Pendiente")))</f>
        <v/>
      </c>
      <c r="H141" s="5" t="n"/>
      <c r="I141" s="10">
        <f>IF($A141="","",IF(COUNTIF(PEDIDOS!$A$4:$A$200,$A141)=0,"Ese ID_Pedido no existe en la hoja PEDIDOS",IF(N($D141)&lt;=0,"Falta el monto",IF(N($E141)&gt;N($D141)+0.5,"Pagado mayor que el monto",""))))</f>
        <v/>
      </c>
      <c r="J141" s="4" t="n"/>
    </row>
    <row r="142">
      <c r="A142" s="4" t="n"/>
      <c r="B142" s="4" t="n"/>
      <c r="C142" s="4" t="n"/>
      <c r="D142" s="20" t="n"/>
      <c r="E142" s="20" t="n"/>
      <c r="F142" s="21">
        <f>IF($A142="","",ROUND(N($D142)-N($E142),2))</f>
        <v/>
      </c>
      <c r="G142" s="9">
        <f>IF($A142="","",IF(N($D142)-N($E142)&lt;=0.5,"Pagado",IF(N($E142)&gt;0.5,"Parcial","Pendiente")))</f>
        <v/>
      </c>
      <c r="H142" s="5" t="n"/>
      <c r="I142" s="10">
        <f>IF($A142="","",IF(COUNTIF(PEDIDOS!$A$4:$A$200,$A142)=0,"Ese ID_Pedido no existe en la hoja PEDIDOS",IF(N($D142)&lt;=0,"Falta el monto",IF(N($E142)&gt;N($D142)+0.5,"Pagado mayor que el monto",""))))</f>
        <v/>
      </c>
      <c r="J142" s="4" t="n"/>
    </row>
    <row r="143">
      <c r="A143" s="4" t="n"/>
      <c r="B143" s="4" t="n"/>
      <c r="C143" s="4" t="n"/>
      <c r="D143" s="20" t="n"/>
      <c r="E143" s="20" t="n"/>
      <c r="F143" s="21">
        <f>IF($A143="","",ROUND(N($D143)-N($E143),2))</f>
        <v/>
      </c>
      <c r="G143" s="9">
        <f>IF($A143="","",IF(N($D143)-N($E143)&lt;=0.5,"Pagado",IF(N($E143)&gt;0.5,"Parcial","Pendiente")))</f>
        <v/>
      </c>
      <c r="H143" s="5" t="n"/>
      <c r="I143" s="10">
        <f>IF($A143="","",IF(COUNTIF(PEDIDOS!$A$4:$A$200,$A143)=0,"Ese ID_Pedido no existe en la hoja PEDIDOS",IF(N($D143)&lt;=0,"Falta el monto",IF(N($E143)&gt;N($D143)+0.5,"Pagado mayor que el monto",""))))</f>
        <v/>
      </c>
      <c r="J143" s="4" t="n"/>
    </row>
    <row r="144">
      <c r="A144" s="4" t="n"/>
      <c r="B144" s="4" t="n"/>
      <c r="C144" s="4" t="n"/>
      <c r="D144" s="20" t="n"/>
      <c r="E144" s="20" t="n"/>
      <c r="F144" s="21">
        <f>IF($A144="","",ROUND(N($D144)-N($E144),2))</f>
        <v/>
      </c>
      <c r="G144" s="9">
        <f>IF($A144="","",IF(N($D144)-N($E144)&lt;=0.5,"Pagado",IF(N($E144)&gt;0.5,"Parcial","Pendiente")))</f>
        <v/>
      </c>
      <c r="H144" s="5" t="n"/>
      <c r="I144" s="10">
        <f>IF($A144="","",IF(COUNTIF(PEDIDOS!$A$4:$A$200,$A144)=0,"Ese ID_Pedido no existe en la hoja PEDIDOS",IF(N($D144)&lt;=0,"Falta el monto",IF(N($E144)&gt;N($D144)+0.5,"Pagado mayor que el monto",""))))</f>
        <v/>
      </c>
      <c r="J144" s="4" t="n"/>
    </row>
    <row r="145">
      <c r="A145" s="4" t="n"/>
      <c r="B145" s="4" t="n"/>
      <c r="C145" s="4" t="n"/>
      <c r="D145" s="20" t="n"/>
      <c r="E145" s="20" t="n"/>
      <c r="F145" s="21">
        <f>IF($A145="","",ROUND(N($D145)-N($E145),2))</f>
        <v/>
      </c>
      <c r="G145" s="9">
        <f>IF($A145="","",IF(N($D145)-N($E145)&lt;=0.5,"Pagado",IF(N($E145)&gt;0.5,"Parcial","Pendiente")))</f>
        <v/>
      </c>
      <c r="H145" s="5" t="n"/>
      <c r="I145" s="10">
        <f>IF($A145="","",IF(COUNTIF(PEDIDOS!$A$4:$A$200,$A145)=0,"Ese ID_Pedido no existe en la hoja PEDIDOS",IF(N($D145)&lt;=0,"Falta el monto",IF(N($E145)&gt;N($D145)+0.5,"Pagado mayor que el monto",""))))</f>
        <v/>
      </c>
      <c r="J145" s="4" t="n"/>
    </row>
    <row r="146">
      <c r="A146" s="4" t="n"/>
      <c r="B146" s="4" t="n"/>
      <c r="C146" s="4" t="n"/>
      <c r="D146" s="20" t="n"/>
      <c r="E146" s="20" t="n"/>
      <c r="F146" s="21">
        <f>IF($A146="","",ROUND(N($D146)-N($E146),2))</f>
        <v/>
      </c>
      <c r="G146" s="9">
        <f>IF($A146="","",IF(N($D146)-N($E146)&lt;=0.5,"Pagado",IF(N($E146)&gt;0.5,"Parcial","Pendiente")))</f>
        <v/>
      </c>
      <c r="H146" s="5" t="n"/>
      <c r="I146" s="10">
        <f>IF($A146="","",IF(COUNTIF(PEDIDOS!$A$4:$A$200,$A146)=0,"Ese ID_Pedido no existe en la hoja PEDIDOS",IF(N($D146)&lt;=0,"Falta el monto",IF(N($E146)&gt;N($D146)+0.5,"Pagado mayor que el monto",""))))</f>
        <v/>
      </c>
      <c r="J146" s="4" t="n"/>
    </row>
    <row r="147">
      <c r="A147" s="4" t="n"/>
      <c r="B147" s="4" t="n"/>
      <c r="C147" s="4" t="n"/>
      <c r="D147" s="20" t="n"/>
      <c r="E147" s="20" t="n"/>
      <c r="F147" s="21">
        <f>IF($A147="","",ROUND(N($D147)-N($E147),2))</f>
        <v/>
      </c>
      <c r="G147" s="9">
        <f>IF($A147="","",IF(N($D147)-N($E147)&lt;=0.5,"Pagado",IF(N($E147)&gt;0.5,"Parcial","Pendiente")))</f>
        <v/>
      </c>
      <c r="H147" s="5" t="n"/>
      <c r="I147" s="10">
        <f>IF($A147="","",IF(COUNTIF(PEDIDOS!$A$4:$A$200,$A147)=0,"Ese ID_Pedido no existe en la hoja PEDIDOS",IF(N($D147)&lt;=0,"Falta el monto",IF(N($E147)&gt;N($D147)+0.5,"Pagado mayor que el monto",""))))</f>
        <v/>
      </c>
      <c r="J147" s="4" t="n"/>
    </row>
    <row r="148">
      <c r="A148" s="4" t="n"/>
      <c r="B148" s="4" t="n"/>
      <c r="C148" s="4" t="n"/>
      <c r="D148" s="20" t="n"/>
      <c r="E148" s="20" t="n"/>
      <c r="F148" s="21">
        <f>IF($A148="","",ROUND(N($D148)-N($E148),2))</f>
        <v/>
      </c>
      <c r="G148" s="9">
        <f>IF($A148="","",IF(N($D148)-N($E148)&lt;=0.5,"Pagado",IF(N($E148)&gt;0.5,"Parcial","Pendiente")))</f>
        <v/>
      </c>
      <c r="H148" s="5" t="n"/>
      <c r="I148" s="10">
        <f>IF($A148="","",IF(COUNTIF(PEDIDOS!$A$4:$A$200,$A148)=0,"Ese ID_Pedido no existe en la hoja PEDIDOS",IF(N($D148)&lt;=0,"Falta el monto",IF(N($E148)&gt;N($D148)+0.5,"Pagado mayor que el monto",""))))</f>
        <v/>
      </c>
      <c r="J148" s="4" t="n"/>
    </row>
    <row r="149">
      <c r="A149" s="4" t="n"/>
      <c r="B149" s="4" t="n"/>
      <c r="C149" s="4" t="n"/>
      <c r="D149" s="20" t="n"/>
      <c r="E149" s="20" t="n"/>
      <c r="F149" s="21">
        <f>IF($A149="","",ROUND(N($D149)-N($E149),2))</f>
        <v/>
      </c>
      <c r="G149" s="9">
        <f>IF($A149="","",IF(N($D149)-N($E149)&lt;=0.5,"Pagado",IF(N($E149)&gt;0.5,"Parcial","Pendiente")))</f>
        <v/>
      </c>
      <c r="H149" s="5" t="n"/>
      <c r="I149" s="10">
        <f>IF($A149="","",IF(COUNTIF(PEDIDOS!$A$4:$A$200,$A149)=0,"Ese ID_Pedido no existe en la hoja PEDIDOS",IF(N($D149)&lt;=0,"Falta el monto",IF(N($E149)&gt;N($D149)+0.5,"Pagado mayor que el monto",""))))</f>
        <v/>
      </c>
      <c r="J149" s="4" t="n"/>
    </row>
    <row r="150">
      <c r="A150" s="4" t="n"/>
      <c r="B150" s="4" t="n"/>
      <c r="C150" s="4" t="n"/>
      <c r="D150" s="20" t="n"/>
      <c r="E150" s="20" t="n"/>
      <c r="F150" s="21">
        <f>IF($A150="","",ROUND(N($D150)-N($E150),2))</f>
        <v/>
      </c>
      <c r="G150" s="9">
        <f>IF($A150="","",IF(N($D150)-N($E150)&lt;=0.5,"Pagado",IF(N($E150)&gt;0.5,"Parcial","Pendiente")))</f>
        <v/>
      </c>
      <c r="H150" s="5" t="n"/>
      <c r="I150" s="10">
        <f>IF($A150="","",IF(COUNTIF(PEDIDOS!$A$4:$A$200,$A150)=0,"Ese ID_Pedido no existe en la hoja PEDIDOS",IF(N($D150)&lt;=0,"Falta el monto",IF(N($E150)&gt;N($D150)+0.5,"Pagado mayor que el monto",""))))</f>
        <v/>
      </c>
      <c r="J150" s="4" t="n"/>
    </row>
    <row r="151">
      <c r="A151" s="4" t="n"/>
      <c r="B151" s="4" t="n"/>
      <c r="C151" s="4" t="n"/>
      <c r="D151" s="20" t="n"/>
      <c r="E151" s="20" t="n"/>
      <c r="F151" s="21">
        <f>IF($A151="","",ROUND(N($D151)-N($E151),2))</f>
        <v/>
      </c>
      <c r="G151" s="9">
        <f>IF($A151="","",IF(N($D151)-N($E151)&lt;=0.5,"Pagado",IF(N($E151)&gt;0.5,"Parcial","Pendiente")))</f>
        <v/>
      </c>
      <c r="H151" s="5" t="n"/>
      <c r="I151" s="10">
        <f>IF($A151="","",IF(COUNTIF(PEDIDOS!$A$4:$A$200,$A151)=0,"Ese ID_Pedido no existe en la hoja PEDIDOS",IF(N($D151)&lt;=0,"Falta el monto",IF(N($E151)&gt;N($D151)+0.5,"Pagado mayor que el monto",""))))</f>
        <v/>
      </c>
      <c r="J151" s="4" t="n"/>
    </row>
    <row r="152">
      <c r="A152" s="4" t="n"/>
      <c r="B152" s="4" t="n"/>
      <c r="C152" s="4" t="n"/>
      <c r="D152" s="20" t="n"/>
      <c r="E152" s="20" t="n"/>
      <c r="F152" s="21">
        <f>IF($A152="","",ROUND(N($D152)-N($E152),2))</f>
        <v/>
      </c>
      <c r="G152" s="9">
        <f>IF($A152="","",IF(N($D152)-N($E152)&lt;=0.5,"Pagado",IF(N($E152)&gt;0.5,"Parcial","Pendiente")))</f>
        <v/>
      </c>
      <c r="H152" s="5" t="n"/>
      <c r="I152" s="10">
        <f>IF($A152="","",IF(COUNTIF(PEDIDOS!$A$4:$A$200,$A152)=0,"Ese ID_Pedido no existe en la hoja PEDIDOS",IF(N($D152)&lt;=0,"Falta el monto",IF(N($E152)&gt;N($D152)+0.5,"Pagado mayor que el monto",""))))</f>
        <v/>
      </c>
      <c r="J152" s="4" t="n"/>
    </row>
    <row r="153">
      <c r="A153" s="4" t="n"/>
      <c r="B153" s="4" t="n"/>
      <c r="C153" s="4" t="n"/>
      <c r="D153" s="20" t="n"/>
      <c r="E153" s="20" t="n"/>
      <c r="F153" s="21">
        <f>IF($A153="","",ROUND(N($D153)-N($E153),2))</f>
        <v/>
      </c>
      <c r="G153" s="9">
        <f>IF($A153="","",IF(N($D153)-N($E153)&lt;=0.5,"Pagado",IF(N($E153)&gt;0.5,"Parcial","Pendiente")))</f>
        <v/>
      </c>
      <c r="H153" s="5" t="n"/>
      <c r="I153" s="10">
        <f>IF($A153="","",IF(COUNTIF(PEDIDOS!$A$4:$A$200,$A153)=0,"Ese ID_Pedido no existe en la hoja PEDIDOS",IF(N($D153)&lt;=0,"Falta el monto",IF(N($E153)&gt;N($D153)+0.5,"Pagado mayor que el monto",""))))</f>
        <v/>
      </c>
      <c r="J153" s="4" t="n"/>
    </row>
    <row r="154">
      <c r="A154" s="4" t="n"/>
      <c r="B154" s="4" t="n"/>
      <c r="C154" s="4" t="n"/>
      <c r="D154" s="20" t="n"/>
      <c r="E154" s="20" t="n"/>
      <c r="F154" s="21">
        <f>IF($A154="","",ROUND(N($D154)-N($E154),2))</f>
        <v/>
      </c>
      <c r="G154" s="9">
        <f>IF($A154="","",IF(N($D154)-N($E154)&lt;=0.5,"Pagado",IF(N($E154)&gt;0.5,"Parcial","Pendiente")))</f>
        <v/>
      </c>
      <c r="H154" s="5" t="n"/>
      <c r="I154" s="10">
        <f>IF($A154="","",IF(COUNTIF(PEDIDOS!$A$4:$A$200,$A154)=0,"Ese ID_Pedido no existe en la hoja PEDIDOS",IF(N($D154)&lt;=0,"Falta el monto",IF(N($E154)&gt;N($D154)+0.5,"Pagado mayor que el monto",""))))</f>
        <v/>
      </c>
      <c r="J154" s="4" t="n"/>
    </row>
    <row r="155">
      <c r="A155" s="4" t="n"/>
      <c r="B155" s="4" t="n"/>
      <c r="C155" s="4" t="n"/>
      <c r="D155" s="20" t="n"/>
      <c r="E155" s="20" t="n"/>
      <c r="F155" s="21">
        <f>IF($A155="","",ROUND(N($D155)-N($E155),2))</f>
        <v/>
      </c>
      <c r="G155" s="9">
        <f>IF($A155="","",IF(N($D155)-N($E155)&lt;=0.5,"Pagado",IF(N($E155)&gt;0.5,"Parcial","Pendiente")))</f>
        <v/>
      </c>
      <c r="H155" s="5" t="n"/>
      <c r="I155" s="10">
        <f>IF($A155="","",IF(COUNTIF(PEDIDOS!$A$4:$A$200,$A155)=0,"Ese ID_Pedido no existe en la hoja PEDIDOS",IF(N($D155)&lt;=0,"Falta el monto",IF(N($E155)&gt;N($D155)+0.5,"Pagado mayor que el monto",""))))</f>
        <v/>
      </c>
      <c r="J155" s="4" t="n"/>
    </row>
    <row r="156">
      <c r="A156" s="4" t="n"/>
      <c r="B156" s="4" t="n"/>
      <c r="C156" s="4" t="n"/>
      <c r="D156" s="20" t="n"/>
      <c r="E156" s="20" t="n"/>
      <c r="F156" s="21">
        <f>IF($A156="","",ROUND(N($D156)-N($E156),2))</f>
        <v/>
      </c>
      <c r="G156" s="9">
        <f>IF($A156="","",IF(N($D156)-N($E156)&lt;=0.5,"Pagado",IF(N($E156)&gt;0.5,"Parcial","Pendiente")))</f>
        <v/>
      </c>
      <c r="H156" s="5" t="n"/>
      <c r="I156" s="10">
        <f>IF($A156="","",IF(COUNTIF(PEDIDOS!$A$4:$A$200,$A156)=0,"Ese ID_Pedido no existe en la hoja PEDIDOS",IF(N($D156)&lt;=0,"Falta el monto",IF(N($E156)&gt;N($D156)+0.5,"Pagado mayor que el monto",""))))</f>
        <v/>
      </c>
      <c r="J156" s="4" t="n"/>
    </row>
    <row r="157">
      <c r="A157" s="4" t="n"/>
      <c r="B157" s="4" t="n"/>
      <c r="C157" s="4" t="n"/>
      <c r="D157" s="20" t="n"/>
      <c r="E157" s="20" t="n"/>
      <c r="F157" s="21">
        <f>IF($A157="","",ROUND(N($D157)-N($E157),2))</f>
        <v/>
      </c>
      <c r="G157" s="9">
        <f>IF($A157="","",IF(N($D157)-N($E157)&lt;=0.5,"Pagado",IF(N($E157)&gt;0.5,"Parcial","Pendiente")))</f>
        <v/>
      </c>
      <c r="H157" s="5" t="n"/>
      <c r="I157" s="10">
        <f>IF($A157="","",IF(COUNTIF(PEDIDOS!$A$4:$A$200,$A157)=0,"Ese ID_Pedido no existe en la hoja PEDIDOS",IF(N($D157)&lt;=0,"Falta el monto",IF(N($E157)&gt;N($D157)+0.5,"Pagado mayor que el monto",""))))</f>
        <v/>
      </c>
      <c r="J157" s="4" t="n"/>
    </row>
    <row r="158">
      <c r="A158" s="4" t="n"/>
      <c r="B158" s="4" t="n"/>
      <c r="C158" s="4" t="n"/>
      <c r="D158" s="20" t="n"/>
      <c r="E158" s="20" t="n"/>
      <c r="F158" s="21">
        <f>IF($A158="","",ROUND(N($D158)-N($E158),2))</f>
        <v/>
      </c>
      <c r="G158" s="9">
        <f>IF($A158="","",IF(N($D158)-N($E158)&lt;=0.5,"Pagado",IF(N($E158)&gt;0.5,"Parcial","Pendiente")))</f>
        <v/>
      </c>
      <c r="H158" s="5" t="n"/>
      <c r="I158" s="10">
        <f>IF($A158="","",IF(COUNTIF(PEDIDOS!$A$4:$A$200,$A158)=0,"Ese ID_Pedido no existe en la hoja PEDIDOS",IF(N($D158)&lt;=0,"Falta el monto",IF(N($E158)&gt;N($D158)+0.5,"Pagado mayor que el monto",""))))</f>
        <v/>
      </c>
      <c r="J158" s="4" t="n"/>
    </row>
    <row r="159">
      <c r="A159" s="4" t="n"/>
      <c r="B159" s="4" t="n"/>
      <c r="C159" s="4" t="n"/>
      <c r="D159" s="20" t="n"/>
      <c r="E159" s="20" t="n"/>
      <c r="F159" s="21">
        <f>IF($A159="","",ROUND(N($D159)-N($E159),2))</f>
        <v/>
      </c>
      <c r="G159" s="9">
        <f>IF($A159="","",IF(N($D159)-N($E159)&lt;=0.5,"Pagado",IF(N($E159)&gt;0.5,"Parcial","Pendiente")))</f>
        <v/>
      </c>
      <c r="H159" s="5" t="n"/>
      <c r="I159" s="10">
        <f>IF($A159="","",IF(COUNTIF(PEDIDOS!$A$4:$A$200,$A159)=0,"Ese ID_Pedido no existe en la hoja PEDIDOS",IF(N($D159)&lt;=0,"Falta el monto",IF(N($E159)&gt;N($D159)+0.5,"Pagado mayor que el monto",""))))</f>
        <v/>
      </c>
      <c r="J159" s="4" t="n"/>
    </row>
    <row r="160">
      <c r="A160" s="4" t="n"/>
      <c r="B160" s="4" t="n"/>
      <c r="C160" s="4" t="n"/>
      <c r="D160" s="20" t="n"/>
      <c r="E160" s="20" t="n"/>
      <c r="F160" s="21">
        <f>IF($A160="","",ROUND(N($D160)-N($E160),2))</f>
        <v/>
      </c>
      <c r="G160" s="9">
        <f>IF($A160="","",IF(N($D160)-N($E160)&lt;=0.5,"Pagado",IF(N($E160)&gt;0.5,"Parcial","Pendiente")))</f>
        <v/>
      </c>
      <c r="H160" s="5" t="n"/>
      <c r="I160" s="10">
        <f>IF($A160="","",IF(COUNTIF(PEDIDOS!$A$4:$A$200,$A160)=0,"Ese ID_Pedido no existe en la hoja PEDIDOS",IF(N($D160)&lt;=0,"Falta el monto",IF(N($E160)&gt;N($D160)+0.5,"Pagado mayor que el monto",""))))</f>
        <v/>
      </c>
      <c r="J160" s="4" t="n"/>
    </row>
    <row r="161">
      <c r="A161" s="4" t="n"/>
      <c r="B161" s="4" t="n"/>
      <c r="C161" s="4" t="n"/>
      <c r="D161" s="20" t="n"/>
      <c r="E161" s="20" t="n"/>
      <c r="F161" s="21">
        <f>IF($A161="","",ROUND(N($D161)-N($E161),2))</f>
        <v/>
      </c>
      <c r="G161" s="9">
        <f>IF($A161="","",IF(N($D161)-N($E161)&lt;=0.5,"Pagado",IF(N($E161)&gt;0.5,"Parcial","Pendiente")))</f>
        <v/>
      </c>
      <c r="H161" s="5" t="n"/>
      <c r="I161" s="10">
        <f>IF($A161="","",IF(COUNTIF(PEDIDOS!$A$4:$A$200,$A161)=0,"Ese ID_Pedido no existe en la hoja PEDIDOS",IF(N($D161)&lt;=0,"Falta el monto",IF(N($E161)&gt;N($D161)+0.5,"Pagado mayor que el monto",""))))</f>
        <v/>
      </c>
      <c r="J161" s="4" t="n"/>
    </row>
    <row r="162">
      <c r="A162" s="4" t="n"/>
      <c r="B162" s="4" t="n"/>
      <c r="C162" s="4" t="n"/>
      <c r="D162" s="20" t="n"/>
      <c r="E162" s="20" t="n"/>
      <c r="F162" s="21">
        <f>IF($A162="","",ROUND(N($D162)-N($E162),2))</f>
        <v/>
      </c>
      <c r="G162" s="9">
        <f>IF($A162="","",IF(N($D162)-N($E162)&lt;=0.5,"Pagado",IF(N($E162)&gt;0.5,"Parcial","Pendiente")))</f>
        <v/>
      </c>
      <c r="H162" s="5" t="n"/>
      <c r="I162" s="10">
        <f>IF($A162="","",IF(COUNTIF(PEDIDOS!$A$4:$A$200,$A162)=0,"Ese ID_Pedido no existe en la hoja PEDIDOS",IF(N($D162)&lt;=0,"Falta el monto",IF(N($E162)&gt;N($D162)+0.5,"Pagado mayor que el monto",""))))</f>
        <v/>
      </c>
      <c r="J162" s="4" t="n"/>
    </row>
    <row r="163">
      <c r="A163" s="4" t="n"/>
      <c r="B163" s="4" t="n"/>
      <c r="C163" s="4" t="n"/>
      <c r="D163" s="20" t="n"/>
      <c r="E163" s="20" t="n"/>
      <c r="F163" s="21">
        <f>IF($A163="","",ROUND(N($D163)-N($E163),2))</f>
        <v/>
      </c>
      <c r="G163" s="9">
        <f>IF($A163="","",IF(N($D163)-N($E163)&lt;=0.5,"Pagado",IF(N($E163)&gt;0.5,"Parcial","Pendiente")))</f>
        <v/>
      </c>
      <c r="H163" s="5" t="n"/>
      <c r="I163" s="10">
        <f>IF($A163="","",IF(COUNTIF(PEDIDOS!$A$4:$A$200,$A163)=0,"Ese ID_Pedido no existe en la hoja PEDIDOS",IF(N($D163)&lt;=0,"Falta el monto",IF(N($E163)&gt;N($D163)+0.5,"Pagado mayor que el monto",""))))</f>
        <v/>
      </c>
      <c r="J163" s="4" t="n"/>
    </row>
    <row r="164">
      <c r="A164" s="4" t="n"/>
      <c r="B164" s="4" t="n"/>
      <c r="C164" s="4" t="n"/>
      <c r="D164" s="20" t="n"/>
      <c r="E164" s="20" t="n"/>
      <c r="F164" s="21">
        <f>IF($A164="","",ROUND(N($D164)-N($E164),2))</f>
        <v/>
      </c>
      <c r="G164" s="9">
        <f>IF($A164="","",IF(N($D164)-N($E164)&lt;=0.5,"Pagado",IF(N($E164)&gt;0.5,"Parcial","Pendiente")))</f>
        <v/>
      </c>
      <c r="H164" s="5" t="n"/>
      <c r="I164" s="10">
        <f>IF($A164="","",IF(COUNTIF(PEDIDOS!$A$4:$A$200,$A164)=0,"Ese ID_Pedido no existe en la hoja PEDIDOS",IF(N($D164)&lt;=0,"Falta el monto",IF(N($E164)&gt;N($D164)+0.5,"Pagado mayor que el monto",""))))</f>
        <v/>
      </c>
      <c r="J164" s="4" t="n"/>
    </row>
    <row r="165">
      <c r="A165" s="4" t="n"/>
      <c r="B165" s="4" t="n"/>
      <c r="C165" s="4" t="n"/>
      <c r="D165" s="20" t="n"/>
      <c r="E165" s="20" t="n"/>
      <c r="F165" s="21">
        <f>IF($A165="","",ROUND(N($D165)-N($E165),2))</f>
        <v/>
      </c>
      <c r="G165" s="9">
        <f>IF($A165="","",IF(N($D165)-N($E165)&lt;=0.5,"Pagado",IF(N($E165)&gt;0.5,"Parcial","Pendiente")))</f>
        <v/>
      </c>
      <c r="H165" s="5" t="n"/>
      <c r="I165" s="10">
        <f>IF($A165="","",IF(COUNTIF(PEDIDOS!$A$4:$A$200,$A165)=0,"Ese ID_Pedido no existe en la hoja PEDIDOS",IF(N($D165)&lt;=0,"Falta el monto",IF(N($E165)&gt;N($D165)+0.5,"Pagado mayor que el monto",""))))</f>
        <v/>
      </c>
      <c r="J165" s="4" t="n"/>
    </row>
    <row r="166">
      <c r="A166" s="4" t="n"/>
      <c r="B166" s="4" t="n"/>
      <c r="C166" s="4" t="n"/>
      <c r="D166" s="20" t="n"/>
      <c r="E166" s="20" t="n"/>
      <c r="F166" s="21">
        <f>IF($A166="","",ROUND(N($D166)-N($E166),2))</f>
        <v/>
      </c>
      <c r="G166" s="9">
        <f>IF($A166="","",IF(N($D166)-N($E166)&lt;=0.5,"Pagado",IF(N($E166)&gt;0.5,"Parcial","Pendiente")))</f>
        <v/>
      </c>
      <c r="H166" s="5" t="n"/>
      <c r="I166" s="10">
        <f>IF($A166="","",IF(COUNTIF(PEDIDOS!$A$4:$A$200,$A166)=0,"Ese ID_Pedido no existe en la hoja PEDIDOS",IF(N($D166)&lt;=0,"Falta el monto",IF(N($E166)&gt;N($D166)+0.5,"Pagado mayor que el monto",""))))</f>
        <v/>
      </c>
      <c r="J166" s="4" t="n"/>
    </row>
    <row r="167">
      <c r="A167" s="4" t="n"/>
      <c r="B167" s="4" t="n"/>
      <c r="C167" s="4" t="n"/>
      <c r="D167" s="20" t="n"/>
      <c r="E167" s="20" t="n"/>
      <c r="F167" s="21">
        <f>IF($A167="","",ROUND(N($D167)-N($E167),2))</f>
        <v/>
      </c>
      <c r="G167" s="9">
        <f>IF($A167="","",IF(N($D167)-N($E167)&lt;=0.5,"Pagado",IF(N($E167)&gt;0.5,"Parcial","Pendiente")))</f>
        <v/>
      </c>
      <c r="H167" s="5" t="n"/>
      <c r="I167" s="10">
        <f>IF($A167="","",IF(COUNTIF(PEDIDOS!$A$4:$A$200,$A167)=0,"Ese ID_Pedido no existe en la hoja PEDIDOS",IF(N($D167)&lt;=0,"Falta el monto",IF(N($E167)&gt;N($D167)+0.5,"Pagado mayor que el monto",""))))</f>
        <v/>
      </c>
      <c r="J167" s="4" t="n"/>
    </row>
    <row r="168">
      <c r="A168" s="4" t="n"/>
      <c r="B168" s="4" t="n"/>
      <c r="C168" s="4" t="n"/>
      <c r="D168" s="20" t="n"/>
      <c r="E168" s="20" t="n"/>
      <c r="F168" s="21">
        <f>IF($A168="","",ROUND(N($D168)-N($E168),2))</f>
        <v/>
      </c>
      <c r="G168" s="9">
        <f>IF($A168="","",IF(N($D168)-N($E168)&lt;=0.5,"Pagado",IF(N($E168)&gt;0.5,"Parcial","Pendiente")))</f>
        <v/>
      </c>
      <c r="H168" s="5" t="n"/>
      <c r="I168" s="10">
        <f>IF($A168="","",IF(COUNTIF(PEDIDOS!$A$4:$A$200,$A168)=0,"Ese ID_Pedido no existe en la hoja PEDIDOS",IF(N($D168)&lt;=0,"Falta el monto",IF(N($E168)&gt;N($D168)+0.5,"Pagado mayor que el monto",""))))</f>
        <v/>
      </c>
      <c r="J168" s="4" t="n"/>
    </row>
    <row r="169">
      <c r="A169" s="4" t="n"/>
      <c r="B169" s="4" t="n"/>
      <c r="C169" s="4" t="n"/>
      <c r="D169" s="20" t="n"/>
      <c r="E169" s="20" t="n"/>
      <c r="F169" s="21">
        <f>IF($A169="","",ROUND(N($D169)-N($E169),2))</f>
        <v/>
      </c>
      <c r="G169" s="9">
        <f>IF($A169="","",IF(N($D169)-N($E169)&lt;=0.5,"Pagado",IF(N($E169)&gt;0.5,"Parcial","Pendiente")))</f>
        <v/>
      </c>
      <c r="H169" s="5" t="n"/>
      <c r="I169" s="10">
        <f>IF($A169="","",IF(COUNTIF(PEDIDOS!$A$4:$A$200,$A169)=0,"Ese ID_Pedido no existe en la hoja PEDIDOS",IF(N($D169)&lt;=0,"Falta el monto",IF(N($E169)&gt;N($D169)+0.5,"Pagado mayor que el monto",""))))</f>
        <v/>
      </c>
      <c r="J169" s="4" t="n"/>
    </row>
    <row r="170">
      <c r="A170" s="4" t="n"/>
      <c r="B170" s="4" t="n"/>
      <c r="C170" s="4" t="n"/>
      <c r="D170" s="20" t="n"/>
      <c r="E170" s="20" t="n"/>
      <c r="F170" s="21">
        <f>IF($A170="","",ROUND(N($D170)-N($E170),2))</f>
        <v/>
      </c>
      <c r="G170" s="9">
        <f>IF($A170="","",IF(N($D170)-N($E170)&lt;=0.5,"Pagado",IF(N($E170)&gt;0.5,"Parcial","Pendiente")))</f>
        <v/>
      </c>
      <c r="H170" s="5" t="n"/>
      <c r="I170" s="10">
        <f>IF($A170="","",IF(COUNTIF(PEDIDOS!$A$4:$A$200,$A170)=0,"Ese ID_Pedido no existe en la hoja PEDIDOS",IF(N($D170)&lt;=0,"Falta el monto",IF(N($E170)&gt;N($D170)+0.5,"Pagado mayor que el monto",""))))</f>
        <v/>
      </c>
      <c r="J170" s="4" t="n"/>
    </row>
    <row r="171">
      <c r="A171" s="4" t="n"/>
      <c r="B171" s="4" t="n"/>
      <c r="C171" s="4" t="n"/>
      <c r="D171" s="20" t="n"/>
      <c r="E171" s="20" t="n"/>
      <c r="F171" s="21">
        <f>IF($A171="","",ROUND(N($D171)-N($E171),2))</f>
        <v/>
      </c>
      <c r="G171" s="9">
        <f>IF($A171="","",IF(N($D171)-N($E171)&lt;=0.5,"Pagado",IF(N($E171)&gt;0.5,"Parcial","Pendiente")))</f>
        <v/>
      </c>
      <c r="H171" s="5" t="n"/>
      <c r="I171" s="10">
        <f>IF($A171="","",IF(COUNTIF(PEDIDOS!$A$4:$A$200,$A171)=0,"Ese ID_Pedido no existe en la hoja PEDIDOS",IF(N($D171)&lt;=0,"Falta el monto",IF(N($E171)&gt;N($D171)+0.5,"Pagado mayor que el monto",""))))</f>
        <v/>
      </c>
      <c r="J171" s="4" t="n"/>
    </row>
    <row r="172">
      <c r="A172" s="4" t="n"/>
      <c r="B172" s="4" t="n"/>
      <c r="C172" s="4" t="n"/>
      <c r="D172" s="20" t="n"/>
      <c r="E172" s="20" t="n"/>
      <c r="F172" s="21">
        <f>IF($A172="","",ROUND(N($D172)-N($E172),2))</f>
        <v/>
      </c>
      <c r="G172" s="9">
        <f>IF($A172="","",IF(N($D172)-N($E172)&lt;=0.5,"Pagado",IF(N($E172)&gt;0.5,"Parcial","Pendiente")))</f>
        <v/>
      </c>
      <c r="H172" s="5" t="n"/>
      <c r="I172" s="10">
        <f>IF($A172="","",IF(COUNTIF(PEDIDOS!$A$4:$A$200,$A172)=0,"Ese ID_Pedido no existe en la hoja PEDIDOS",IF(N($D172)&lt;=0,"Falta el monto",IF(N($E172)&gt;N($D172)+0.5,"Pagado mayor que el monto",""))))</f>
        <v/>
      </c>
      <c r="J172" s="4" t="n"/>
    </row>
    <row r="173">
      <c r="A173" s="4" t="n"/>
      <c r="B173" s="4" t="n"/>
      <c r="C173" s="4" t="n"/>
      <c r="D173" s="20" t="n"/>
      <c r="E173" s="20" t="n"/>
      <c r="F173" s="21">
        <f>IF($A173="","",ROUND(N($D173)-N($E173),2))</f>
        <v/>
      </c>
      <c r="G173" s="9">
        <f>IF($A173="","",IF(N($D173)-N($E173)&lt;=0.5,"Pagado",IF(N($E173)&gt;0.5,"Parcial","Pendiente")))</f>
        <v/>
      </c>
      <c r="H173" s="5" t="n"/>
      <c r="I173" s="10">
        <f>IF($A173="","",IF(COUNTIF(PEDIDOS!$A$4:$A$200,$A173)=0,"Ese ID_Pedido no existe en la hoja PEDIDOS",IF(N($D173)&lt;=0,"Falta el monto",IF(N($E173)&gt;N($D173)+0.5,"Pagado mayor que el monto",""))))</f>
        <v/>
      </c>
      <c r="J173" s="4" t="n"/>
    </row>
    <row r="174">
      <c r="A174" s="4" t="n"/>
      <c r="B174" s="4" t="n"/>
      <c r="C174" s="4" t="n"/>
      <c r="D174" s="20" t="n"/>
      <c r="E174" s="20" t="n"/>
      <c r="F174" s="21">
        <f>IF($A174="","",ROUND(N($D174)-N($E174),2))</f>
        <v/>
      </c>
      <c r="G174" s="9">
        <f>IF($A174="","",IF(N($D174)-N($E174)&lt;=0.5,"Pagado",IF(N($E174)&gt;0.5,"Parcial","Pendiente")))</f>
        <v/>
      </c>
      <c r="H174" s="5" t="n"/>
      <c r="I174" s="10">
        <f>IF($A174="","",IF(COUNTIF(PEDIDOS!$A$4:$A$200,$A174)=0,"Ese ID_Pedido no existe en la hoja PEDIDOS",IF(N($D174)&lt;=0,"Falta el monto",IF(N($E174)&gt;N($D174)+0.5,"Pagado mayor que el monto",""))))</f>
        <v/>
      </c>
      <c r="J174" s="4" t="n"/>
    </row>
    <row r="175">
      <c r="A175" s="4" t="n"/>
      <c r="B175" s="4" t="n"/>
      <c r="C175" s="4" t="n"/>
      <c r="D175" s="20" t="n"/>
      <c r="E175" s="20" t="n"/>
      <c r="F175" s="21">
        <f>IF($A175="","",ROUND(N($D175)-N($E175),2))</f>
        <v/>
      </c>
      <c r="G175" s="9">
        <f>IF($A175="","",IF(N($D175)-N($E175)&lt;=0.5,"Pagado",IF(N($E175)&gt;0.5,"Parcial","Pendiente")))</f>
        <v/>
      </c>
      <c r="H175" s="5" t="n"/>
      <c r="I175" s="10">
        <f>IF($A175="","",IF(COUNTIF(PEDIDOS!$A$4:$A$200,$A175)=0,"Ese ID_Pedido no existe en la hoja PEDIDOS",IF(N($D175)&lt;=0,"Falta el monto",IF(N($E175)&gt;N($D175)+0.5,"Pagado mayor que el monto",""))))</f>
        <v/>
      </c>
      <c r="J175" s="4" t="n"/>
    </row>
    <row r="176">
      <c r="A176" s="4" t="n"/>
      <c r="B176" s="4" t="n"/>
      <c r="C176" s="4" t="n"/>
      <c r="D176" s="20" t="n"/>
      <c r="E176" s="20" t="n"/>
      <c r="F176" s="21">
        <f>IF($A176="","",ROUND(N($D176)-N($E176),2))</f>
        <v/>
      </c>
      <c r="G176" s="9">
        <f>IF($A176="","",IF(N($D176)-N($E176)&lt;=0.5,"Pagado",IF(N($E176)&gt;0.5,"Parcial","Pendiente")))</f>
        <v/>
      </c>
      <c r="H176" s="5" t="n"/>
      <c r="I176" s="10">
        <f>IF($A176="","",IF(COUNTIF(PEDIDOS!$A$4:$A$200,$A176)=0,"Ese ID_Pedido no existe en la hoja PEDIDOS",IF(N($D176)&lt;=0,"Falta el monto",IF(N($E176)&gt;N($D176)+0.5,"Pagado mayor que el monto",""))))</f>
        <v/>
      </c>
      <c r="J176" s="4" t="n"/>
    </row>
    <row r="177">
      <c r="A177" s="4" t="n"/>
      <c r="B177" s="4" t="n"/>
      <c r="C177" s="4" t="n"/>
      <c r="D177" s="20" t="n"/>
      <c r="E177" s="20" t="n"/>
      <c r="F177" s="21">
        <f>IF($A177="","",ROUND(N($D177)-N($E177),2))</f>
        <v/>
      </c>
      <c r="G177" s="9">
        <f>IF($A177="","",IF(N($D177)-N($E177)&lt;=0.5,"Pagado",IF(N($E177)&gt;0.5,"Parcial","Pendiente")))</f>
        <v/>
      </c>
      <c r="H177" s="5" t="n"/>
      <c r="I177" s="10">
        <f>IF($A177="","",IF(COUNTIF(PEDIDOS!$A$4:$A$200,$A177)=0,"Ese ID_Pedido no existe en la hoja PEDIDOS",IF(N($D177)&lt;=0,"Falta el monto",IF(N($E177)&gt;N($D177)+0.5,"Pagado mayor que el monto",""))))</f>
        <v/>
      </c>
      <c r="J177" s="4" t="n"/>
    </row>
    <row r="178">
      <c r="A178" s="4" t="n"/>
      <c r="B178" s="4" t="n"/>
      <c r="C178" s="4" t="n"/>
      <c r="D178" s="20" t="n"/>
      <c r="E178" s="20" t="n"/>
      <c r="F178" s="21">
        <f>IF($A178="","",ROUND(N($D178)-N($E178),2))</f>
        <v/>
      </c>
      <c r="G178" s="9">
        <f>IF($A178="","",IF(N($D178)-N($E178)&lt;=0.5,"Pagado",IF(N($E178)&gt;0.5,"Parcial","Pendiente")))</f>
        <v/>
      </c>
      <c r="H178" s="5" t="n"/>
      <c r="I178" s="10">
        <f>IF($A178="","",IF(COUNTIF(PEDIDOS!$A$4:$A$200,$A178)=0,"Ese ID_Pedido no existe en la hoja PEDIDOS",IF(N($D178)&lt;=0,"Falta el monto",IF(N($E178)&gt;N($D178)+0.5,"Pagado mayor que el monto",""))))</f>
        <v/>
      </c>
      <c r="J178" s="4" t="n"/>
    </row>
    <row r="179">
      <c r="A179" s="4" t="n"/>
      <c r="B179" s="4" t="n"/>
      <c r="C179" s="4" t="n"/>
      <c r="D179" s="20" t="n"/>
      <c r="E179" s="20" t="n"/>
      <c r="F179" s="21">
        <f>IF($A179="","",ROUND(N($D179)-N($E179),2))</f>
        <v/>
      </c>
      <c r="G179" s="9">
        <f>IF($A179="","",IF(N($D179)-N($E179)&lt;=0.5,"Pagado",IF(N($E179)&gt;0.5,"Parcial","Pendiente")))</f>
        <v/>
      </c>
      <c r="H179" s="5" t="n"/>
      <c r="I179" s="10">
        <f>IF($A179="","",IF(COUNTIF(PEDIDOS!$A$4:$A$200,$A179)=0,"Ese ID_Pedido no existe en la hoja PEDIDOS",IF(N($D179)&lt;=0,"Falta el monto",IF(N($E179)&gt;N($D179)+0.5,"Pagado mayor que el monto",""))))</f>
        <v/>
      </c>
      <c r="J179" s="4" t="n"/>
    </row>
    <row r="180">
      <c r="A180" s="4" t="n"/>
      <c r="B180" s="4" t="n"/>
      <c r="C180" s="4" t="n"/>
      <c r="D180" s="20" t="n"/>
      <c r="E180" s="20" t="n"/>
      <c r="F180" s="21">
        <f>IF($A180="","",ROUND(N($D180)-N($E180),2))</f>
        <v/>
      </c>
      <c r="G180" s="9">
        <f>IF($A180="","",IF(N($D180)-N($E180)&lt;=0.5,"Pagado",IF(N($E180)&gt;0.5,"Parcial","Pendiente")))</f>
        <v/>
      </c>
      <c r="H180" s="5" t="n"/>
      <c r="I180" s="10">
        <f>IF($A180="","",IF(COUNTIF(PEDIDOS!$A$4:$A$200,$A180)=0,"Ese ID_Pedido no existe en la hoja PEDIDOS",IF(N($D180)&lt;=0,"Falta el monto",IF(N($E180)&gt;N($D180)+0.5,"Pagado mayor que el monto",""))))</f>
        <v/>
      </c>
      <c r="J180" s="4" t="n"/>
    </row>
    <row r="181">
      <c r="A181" s="4" t="n"/>
      <c r="B181" s="4" t="n"/>
      <c r="C181" s="4" t="n"/>
      <c r="D181" s="20" t="n"/>
      <c r="E181" s="20" t="n"/>
      <c r="F181" s="21">
        <f>IF($A181="","",ROUND(N($D181)-N($E181),2))</f>
        <v/>
      </c>
      <c r="G181" s="9">
        <f>IF($A181="","",IF(N($D181)-N($E181)&lt;=0.5,"Pagado",IF(N($E181)&gt;0.5,"Parcial","Pendiente")))</f>
        <v/>
      </c>
      <c r="H181" s="5" t="n"/>
      <c r="I181" s="10">
        <f>IF($A181="","",IF(COUNTIF(PEDIDOS!$A$4:$A$200,$A181)=0,"Ese ID_Pedido no existe en la hoja PEDIDOS",IF(N($D181)&lt;=0,"Falta el monto",IF(N($E181)&gt;N($D181)+0.5,"Pagado mayor que el monto",""))))</f>
        <v/>
      </c>
      <c r="J181" s="4" t="n"/>
    </row>
    <row r="182">
      <c r="A182" s="4" t="n"/>
      <c r="B182" s="4" t="n"/>
      <c r="C182" s="4" t="n"/>
      <c r="D182" s="20" t="n"/>
      <c r="E182" s="20" t="n"/>
      <c r="F182" s="21">
        <f>IF($A182="","",ROUND(N($D182)-N($E182),2))</f>
        <v/>
      </c>
      <c r="G182" s="9">
        <f>IF($A182="","",IF(N($D182)-N($E182)&lt;=0.5,"Pagado",IF(N($E182)&gt;0.5,"Parcial","Pendiente")))</f>
        <v/>
      </c>
      <c r="H182" s="5" t="n"/>
      <c r="I182" s="10">
        <f>IF($A182="","",IF(COUNTIF(PEDIDOS!$A$4:$A$200,$A182)=0,"Ese ID_Pedido no existe en la hoja PEDIDOS",IF(N($D182)&lt;=0,"Falta el monto",IF(N($E182)&gt;N($D182)+0.5,"Pagado mayor que el monto",""))))</f>
        <v/>
      </c>
      <c r="J182" s="4" t="n"/>
    </row>
    <row r="183">
      <c r="A183" s="4" t="n"/>
      <c r="B183" s="4" t="n"/>
      <c r="C183" s="4" t="n"/>
      <c r="D183" s="20" t="n"/>
      <c r="E183" s="20" t="n"/>
      <c r="F183" s="21">
        <f>IF($A183="","",ROUND(N($D183)-N($E183),2))</f>
        <v/>
      </c>
      <c r="G183" s="9">
        <f>IF($A183="","",IF(N($D183)-N($E183)&lt;=0.5,"Pagado",IF(N($E183)&gt;0.5,"Parcial","Pendiente")))</f>
        <v/>
      </c>
      <c r="H183" s="5" t="n"/>
      <c r="I183" s="10">
        <f>IF($A183="","",IF(COUNTIF(PEDIDOS!$A$4:$A$200,$A183)=0,"Ese ID_Pedido no existe en la hoja PEDIDOS",IF(N($D183)&lt;=0,"Falta el monto",IF(N($E183)&gt;N($D183)+0.5,"Pagado mayor que el monto",""))))</f>
        <v/>
      </c>
      <c r="J183" s="4" t="n"/>
    </row>
    <row r="184">
      <c r="A184" s="4" t="n"/>
      <c r="B184" s="4" t="n"/>
      <c r="C184" s="4" t="n"/>
      <c r="D184" s="20" t="n"/>
      <c r="E184" s="20" t="n"/>
      <c r="F184" s="21">
        <f>IF($A184="","",ROUND(N($D184)-N($E184),2))</f>
        <v/>
      </c>
      <c r="G184" s="9">
        <f>IF($A184="","",IF(N($D184)-N($E184)&lt;=0.5,"Pagado",IF(N($E184)&gt;0.5,"Parcial","Pendiente")))</f>
        <v/>
      </c>
      <c r="H184" s="5" t="n"/>
      <c r="I184" s="10">
        <f>IF($A184="","",IF(COUNTIF(PEDIDOS!$A$4:$A$200,$A184)=0,"Ese ID_Pedido no existe en la hoja PEDIDOS",IF(N($D184)&lt;=0,"Falta el monto",IF(N($E184)&gt;N($D184)+0.5,"Pagado mayor que el monto",""))))</f>
        <v/>
      </c>
      <c r="J184" s="4" t="n"/>
    </row>
    <row r="185">
      <c r="A185" s="4" t="n"/>
      <c r="B185" s="4" t="n"/>
      <c r="C185" s="4" t="n"/>
      <c r="D185" s="20" t="n"/>
      <c r="E185" s="20" t="n"/>
      <c r="F185" s="21">
        <f>IF($A185="","",ROUND(N($D185)-N($E185),2))</f>
        <v/>
      </c>
      <c r="G185" s="9">
        <f>IF($A185="","",IF(N($D185)-N($E185)&lt;=0.5,"Pagado",IF(N($E185)&gt;0.5,"Parcial","Pendiente")))</f>
        <v/>
      </c>
      <c r="H185" s="5" t="n"/>
      <c r="I185" s="10">
        <f>IF($A185="","",IF(COUNTIF(PEDIDOS!$A$4:$A$200,$A185)=0,"Ese ID_Pedido no existe en la hoja PEDIDOS",IF(N($D185)&lt;=0,"Falta el monto",IF(N($E185)&gt;N($D185)+0.5,"Pagado mayor que el monto",""))))</f>
        <v/>
      </c>
      <c r="J185" s="4" t="n"/>
    </row>
    <row r="186">
      <c r="A186" s="4" t="n"/>
      <c r="B186" s="4" t="n"/>
      <c r="C186" s="4" t="n"/>
      <c r="D186" s="20" t="n"/>
      <c r="E186" s="20" t="n"/>
      <c r="F186" s="21">
        <f>IF($A186="","",ROUND(N($D186)-N($E186),2))</f>
        <v/>
      </c>
      <c r="G186" s="9">
        <f>IF($A186="","",IF(N($D186)-N($E186)&lt;=0.5,"Pagado",IF(N($E186)&gt;0.5,"Parcial","Pendiente")))</f>
        <v/>
      </c>
      <c r="H186" s="5" t="n"/>
      <c r="I186" s="10">
        <f>IF($A186="","",IF(COUNTIF(PEDIDOS!$A$4:$A$200,$A186)=0,"Ese ID_Pedido no existe en la hoja PEDIDOS",IF(N($D186)&lt;=0,"Falta el monto",IF(N($E186)&gt;N($D186)+0.5,"Pagado mayor que el monto",""))))</f>
        <v/>
      </c>
      <c r="J186" s="4" t="n"/>
    </row>
    <row r="187">
      <c r="A187" s="4" t="n"/>
      <c r="B187" s="4" t="n"/>
      <c r="C187" s="4" t="n"/>
      <c r="D187" s="20" t="n"/>
      <c r="E187" s="20" t="n"/>
      <c r="F187" s="21">
        <f>IF($A187="","",ROUND(N($D187)-N($E187),2))</f>
        <v/>
      </c>
      <c r="G187" s="9">
        <f>IF($A187="","",IF(N($D187)-N($E187)&lt;=0.5,"Pagado",IF(N($E187)&gt;0.5,"Parcial","Pendiente")))</f>
        <v/>
      </c>
      <c r="H187" s="5" t="n"/>
      <c r="I187" s="10">
        <f>IF($A187="","",IF(COUNTIF(PEDIDOS!$A$4:$A$200,$A187)=0,"Ese ID_Pedido no existe en la hoja PEDIDOS",IF(N($D187)&lt;=0,"Falta el monto",IF(N($E187)&gt;N($D187)+0.5,"Pagado mayor que el monto",""))))</f>
        <v/>
      </c>
      <c r="J187" s="4" t="n"/>
    </row>
    <row r="188">
      <c r="A188" s="4" t="n"/>
      <c r="B188" s="4" t="n"/>
      <c r="C188" s="4" t="n"/>
      <c r="D188" s="20" t="n"/>
      <c r="E188" s="20" t="n"/>
      <c r="F188" s="21">
        <f>IF($A188="","",ROUND(N($D188)-N($E188),2))</f>
        <v/>
      </c>
      <c r="G188" s="9">
        <f>IF($A188="","",IF(N($D188)-N($E188)&lt;=0.5,"Pagado",IF(N($E188)&gt;0.5,"Parcial","Pendiente")))</f>
        <v/>
      </c>
      <c r="H188" s="5" t="n"/>
      <c r="I188" s="10">
        <f>IF($A188="","",IF(COUNTIF(PEDIDOS!$A$4:$A$200,$A188)=0,"Ese ID_Pedido no existe en la hoja PEDIDOS",IF(N($D188)&lt;=0,"Falta el monto",IF(N($E188)&gt;N($D188)+0.5,"Pagado mayor que el monto",""))))</f>
        <v/>
      </c>
      <c r="J188" s="4" t="n"/>
    </row>
    <row r="189">
      <c r="A189" s="4" t="n"/>
      <c r="B189" s="4" t="n"/>
      <c r="C189" s="4" t="n"/>
      <c r="D189" s="20" t="n"/>
      <c r="E189" s="20" t="n"/>
      <c r="F189" s="21">
        <f>IF($A189="","",ROUND(N($D189)-N($E189),2))</f>
        <v/>
      </c>
      <c r="G189" s="9">
        <f>IF($A189="","",IF(N($D189)-N($E189)&lt;=0.5,"Pagado",IF(N($E189)&gt;0.5,"Parcial","Pendiente")))</f>
        <v/>
      </c>
      <c r="H189" s="5" t="n"/>
      <c r="I189" s="10">
        <f>IF($A189="","",IF(COUNTIF(PEDIDOS!$A$4:$A$200,$A189)=0,"Ese ID_Pedido no existe en la hoja PEDIDOS",IF(N($D189)&lt;=0,"Falta el monto",IF(N($E189)&gt;N($D189)+0.5,"Pagado mayor que el monto",""))))</f>
        <v/>
      </c>
      <c r="J189" s="4" t="n"/>
    </row>
    <row r="190">
      <c r="A190" s="4" t="n"/>
      <c r="B190" s="4" t="n"/>
      <c r="C190" s="4" t="n"/>
      <c r="D190" s="20" t="n"/>
      <c r="E190" s="20" t="n"/>
      <c r="F190" s="21">
        <f>IF($A190="","",ROUND(N($D190)-N($E190),2))</f>
        <v/>
      </c>
      <c r="G190" s="9">
        <f>IF($A190="","",IF(N($D190)-N($E190)&lt;=0.5,"Pagado",IF(N($E190)&gt;0.5,"Parcial","Pendiente")))</f>
        <v/>
      </c>
      <c r="H190" s="5" t="n"/>
      <c r="I190" s="10">
        <f>IF($A190="","",IF(COUNTIF(PEDIDOS!$A$4:$A$200,$A190)=0,"Ese ID_Pedido no existe en la hoja PEDIDOS",IF(N($D190)&lt;=0,"Falta el monto",IF(N($E190)&gt;N($D190)+0.5,"Pagado mayor que el monto",""))))</f>
        <v/>
      </c>
      <c r="J190" s="4" t="n"/>
    </row>
    <row r="191">
      <c r="A191" s="4" t="n"/>
      <c r="B191" s="4" t="n"/>
      <c r="C191" s="4" t="n"/>
      <c r="D191" s="20" t="n"/>
      <c r="E191" s="20" t="n"/>
      <c r="F191" s="21">
        <f>IF($A191="","",ROUND(N($D191)-N($E191),2))</f>
        <v/>
      </c>
      <c r="G191" s="9">
        <f>IF($A191="","",IF(N($D191)-N($E191)&lt;=0.5,"Pagado",IF(N($E191)&gt;0.5,"Parcial","Pendiente")))</f>
        <v/>
      </c>
      <c r="H191" s="5" t="n"/>
      <c r="I191" s="10">
        <f>IF($A191="","",IF(COUNTIF(PEDIDOS!$A$4:$A$200,$A191)=0,"Ese ID_Pedido no existe en la hoja PEDIDOS",IF(N($D191)&lt;=0,"Falta el monto",IF(N($E191)&gt;N($D191)+0.5,"Pagado mayor que el monto",""))))</f>
        <v/>
      </c>
      <c r="J191" s="4" t="n"/>
    </row>
    <row r="192">
      <c r="A192" s="4" t="n"/>
      <c r="B192" s="4" t="n"/>
      <c r="C192" s="4" t="n"/>
      <c r="D192" s="20" t="n"/>
      <c r="E192" s="20" t="n"/>
      <c r="F192" s="21">
        <f>IF($A192="","",ROUND(N($D192)-N($E192),2))</f>
        <v/>
      </c>
      <c r="G192" s="9">
        <f>IF($A192="","",IF(N($D192)-N($E192)&lt;=0.5,"Pagado",IF(N($E192)&gt;0.5,"Parcial","Pendiente")))</f>
        <v/>
      </c>
      <c r="H192" s="5" t="n"/>
      <c r="I192" s="10">
        <f>IF($A192="","",IF(COUNTIF(PEDIDOS!$A$4:$A$200,$A192)=0,"Ese ID_Pedido no existe en la hoja PEDIDOS",IF(N($D192)&lt;=0,"Falta el monto",IF(N($E192)&gt;N($D192)+0.5,"Pagado mayor que el monto",""))))</f>
        <v/>
      </c>
      <c r="J192" s="4" t="n"/>
    </row>
    <row r="193">
      <c r="A193" s="4" t="n"/>
      <c r="B193" s="4" t="n"/>
      <c r="C193" s="4" t="n"/>
      <c r="D193" s="20" t="n"/>
      <c r="E193" s="20" t="n"/>
      <c r="F193" s="21">
        <f>IF($A193="","",ROUND(N($D193)-N($E193),2))</f>
        <v/>
      </c>
      <c r="G193" s="9">
        <f>IF($A193="","",IF(N($D193)-N($E193)&lt;=0.5,"Pagado",IF(N($E193)&gt;0.5,"Parcial","Pendiente")))</f>
        <v/>
      </c>
      <c r="H193" s="5" t="n"/>
      <c r="I193" s="10">
        <f>IF($A193="","",IF(COUNTIF(PEDIDOS!$A$4:$A$200,$A193)=0,"Ese ID_Pedido no existe en la hoja PEDIDOS",IF(N($D193)&lt;=0,"Falta el monto",IF(N($E193)&gt;N($D193)+0.5,"Pagado mayor que el monto",""))))</f>
        <v/>
      </c>
      <c r="J193" s="4" t="n"/>
    </row>
    <row r="194">
      <c r="A194" s="4" t="n"/>
      <c r="B194" s="4" t="n"/>
      <c r="C194" s="4" t="n"/>
      <c r="D194" s="20" t="n"/>
      <c r="E194" s="20" t="n"/>
      <c r="F194" s="21">
        <f>IF($A194="","",ROUND(N($D194)-N($E194),2))</f>
        <v/>
      </c>
      <c r="G194" s="9">
        <f>IF($A194="","",IF(N($D194)-N($E194)&lt;=0.5,"Pagado",IF(N($E194)&gt;0.5,"Parcial","Pendiente")))</f>
        <v/>
      </c>
      <c r="H194" s="5" t="n"/>
      <c r="I194" s="10">
        <f>IF($A194="","",IF(COUNTIF(PEDIDOS!$A$4:$A$200,$A194)=0,"Ese ID_Pedido no existe en la hoja PEDIDOS",IF(N($D194)&lt;=0,"Falta el monto",IF(N($E194)&gt;N($D194)+0.5,"Pagado mayor que el monto",""))))</f>
        <v/>
      </c>
      <c r="J194" s="4" t="n"/>
    </row>
    <row r="195">
      <c r="A195" s="4" t="n"/>
      <c r="B195" s="4" t="n"/>
      <c r="C195" s="4" t="n"/>
      <c r="D195" s="20" t="n"/>
      <c r="E195" s="20" t="n"/>
      <c r="F195" s="21">
        <f>IF($A195="","",ROUND(N($D195)-N($E195),2))</f>
        <v/>
      </c>
      <c r="G195" s="9">
        <f>IF($A195="","",IF(N($D195)-N($E195)&lt;=0.5,"Pagado",IF(N($E195)&gt;0.5,"Parcial","Pendiente")))</f>
        <v/>
      </c>
      <c r="H195" s="5" t="n"/>
      <c r="I195" s="10">
        <f>IF($A195="","",IF(COUNTIF(PEDIDOS!$A$4:$A$200,$A195)=0,"Ese ID_Pedido no existe en la hoja PEDIDOS",IF(N($D195)&lt;=0,"Falta el monto",IF(N($E195)&gt;N($D195)+0.5,"Pagado mayor que el monto",""))))</f>
        <v/>
      </c>
      <c r="J195" s="4" t="n"/>
    </row>
    <row r="196">
      <c r="A196" s="4" t="n"/>
      <c r="B196" s="4" t="n"/>
      <c r="C196" s="4" t="n"/>
      <c r="D196" s="20" t="n"/>
      <c r="E196" s="20" t="n"/>
      <c r="F196" s="21">
        <f>IF($A196="","",ROUND(N($D196)-N($E196),2))</f>
        <v/>
      </c>
      <c r="G196" s="9">
        <f>IF($A196="","",IF(N($D196)-N($E196)&lt;=0.5,"Pagado",IF(N($E196)&gt;0.5,"Parcial","Pendiente")))</f>
        <v/>
      </c>
      <c r="H196" s="5" t="n"/>
      <c r="I196" s="10">
        <f>IF($A196="","",IF(COUNTIF(PEDIDOS!$A$4:$A$200,$A196)=0,"Ese ID_Pedido no existe en la hoja PEDIDOS",IF(N($D196)&lt;=0,"Falta el monto",IF(N($E196)&gt;N($D196)+0.5,"Pagado mayor que el monto",""))))</f>
        <v/>
      </c>
      <c r="J196" s="4" t="n"/>
    </row>
    <row r="197">
      <c r="A197" s="4" t="n"/>
      <c r="B197" s="4" t="n"/>
      <c r="C197" s="4" t="n"/>
      <c r="D197" s="20" t="n"/>
      <c r="E197" s="20" t="n"/>
      <c r="F197" s="21">
        <f>IF($A197="","",ROUND(N($D197)-N($E197),2))</f>
        <v/>
      </c>
      <c r="G197" s="9">
        <f>IF($A197="","",IF(N($D197)-N($E197)&lt;=0.5,"Pagado",IF(N($E197)&gt;0.5,"Parcial","Pendiente")))</f>
        <v/>
      </c>
      <c r="H197" s="5" t="n"/>
      <c r="I197" s="10">
        <f>IF($A197="","",IF(COUNTIF(PEDIDOS!$A$4:$A$200,$A197)=0,"Ese ID_Pedido no existe en la hoja PEDIDOS",IF(N($D197)&lt;=0,"Falta el monto",IF(N($E197)&gt;N($D197)+0.5,"Pagado mayor que el monto",""))))</f>
        <v/>
      </c>
      <c r="J197" s="4" t="n"/>
    </row>
    <row r="198">
      <c r="A198" s="4" t="n"/>
      <c r="B198" s="4" t="n"/>
      <c r="C198" s="4" t="n"/>
      <c r="D198" s="20" t="n"/>
      <c r="E198" s="20" t="n"/>
      <c r="F198" s="21">
        <f>IF($A198="","",ROUND(N($D198)-N($E198),2))</f>
        <v/>
      </c>
      <c r="G198" s="9">
        <f>IF($A198="","",IF(N($D198)-N($E198)&lt;=0.5,"Pagado",IF(N($E198)&gt;0.5,"Parcial","Pendiente")))</f>
        <v/>
      </c>
      <c r="H198" s="5" t="n"/>
      <c r="I198" s="10">
        <f>IF($A198="","",IF(COUNTIF(PEDIDOS!$A$4:$A$200,$A198)=0,"Ese ID_Pedido no existe en la hoja PEDIDOS",IF(N($D198)&lt;=0,"Falta el monto",IF(N($E198)&gt;N($D198)+0.5,"Pagado mayor que el monto",""))))</f>
        <v/>
      </c>
      <c r="J198" s="4" t="n"/>
    </row>
    <row r="199">
      <c r="A199" s="4" t="n"/>
      <c r="B199" s="4" t="n"/>
      <c r="C199" s="4" t="n"/>
      <c r="D199" s="20" t="n"/>
      <c r="E199" s="20" t="n"/>
      <c r="F199" s="21">
        <f>IF($A199="","",ROUND(N($D199)-N($E199),2))</f>
        <v/>
      </c>
      <c r="G199" s="9">
        <f>IF($A199="","",IF(N($D199)-N($E199)&lt;=0.5,"Pagado",IF(N($E199)&gt;0.5,"Parcial","Pendiente")))</f>
        <v/>
      </c>
      <c r="H199" s="5" t="n"/>
      <c r="I199" s="10">
        <f>IF($A199="","",IF(COUNTIF(PEDIDOS!$A$4:$A$200,$A199)=0,"Ese ID_Pedido no existe en la hoja PEDIDOS",IF(N($D199)&lt;=0,"Falta el monto",IF(N($E199)&gt;N($D199)+0.5,"Pagado mayor que el monto",""))))</f>
        <v/>
      </c>
      <c r="J199" s="4" t="n"/>
    </row>
    <row r="200">
      <c r="A200" s="4" t="n"/>
      <c r="B200" s="4" t="n"/>
      <c r="C200" s="4" t="n"/>
      <c r="D200" s="20" t="n"/>
      <c r="E200" s="20" t="n"/>
      <c r="F200" s="21">
        <f>IF($A200="","",ROUND(N($D200)-N($E200),2))</f>
        <v/>
      </c>
      <c r="G200" s="9">
        <f>IF($A200="","",IF(N($D200)-N($E200)&lt;=0.5,"Pagado",IF(N($E200)&gt;0.5,"Parcial","Pendiente")))</f>
        <v/>
      </c>
      <c r="H200" s="5" t="n"/>
      <c r="I200" s="10">
        <f>IF($A200="","",IF(COUNTIF(PEDIDOS!$A$4:$A$200,$A200)=0,"Ese ID_Pedido no existe en la hoja PEDIDOS",IF(N($D200)&lt;=0,"Falta el monto",IF(N($E200)&gt;N($D200)+0.5,"Pagado mayor que el monto",""))))</f>
        <v/>
      </c>
      <c r="J200" s="4" t="n"/>
    </row>
  </sheetData>
  <autoFilter ref="A3:J200"/>
  <mergeCells count="2">
    <mergeCell ref="A2:H2"/>
    <mergeCell ref="A1:F1"/>
  </mergeCells>
  <dataValidations count="1">
    <dataValidation sqref="B4:B200" showDropDown="0" showInputMessage="0" showErrorMessage="0" allowBlank="1" errorTitle="Proveedor" error="Elige un proveedor de la lista o escribe uno nuevo." type="list">
      <formula1>"Jingwei,Qiyuan,Restar,Wenzhong"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Zentrack</dc:creator>
  <dc:title>ORDER REPORT Zentrack · formato propuesto</dc:title>
  <dcterms:created xsi:type="dcterms:W3CDTF">2026-09-30T16:02:41Z</dcterms:created>
  <dcterms:modified xsi:type="dcterms:W3CDTF">2026-09-30T16:02:42Z</dcterms:modified>
</cp:coreProperties>
</file>